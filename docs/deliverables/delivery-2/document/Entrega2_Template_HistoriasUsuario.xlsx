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4.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hidePivotFieldList="1"/>
  <mc:AlternateContent xmlns:mc="http://schemas.openxmlformats.org/markup-compatibility/2006">
    <mc:Choice Requires="x15">
      <x15ac:absPath xmlns:x15ac="http://schemas.microsoft.com/office/spreadsheetml/2010/11/ac" url="C:\Users\mbriceno\Downloads\"/>
    </mc:Choice>
  </mc:AlternateContent>
  <xr:revisionPtr revIDLastSave="0" documentId="13_ncr:1_{B1F8B3C9-A457-457F-8BF1-A2608809E176}" xr6:coauthVersionLast="47" xr6:coauthVersionMax="47" xr10:uidLastSave="{00000000-0000-0000-0000-000000000000}"/>
  <bookViews>
    <workbookView xWindow="-120" yWindow="-120" windowWidth="20730" windowHeight="11160" tabRatio="677" xr2:uid="{00000000-000D-0000-FFFF-FFFF00000000}"/>
  </bookViews>
  <sheets>
    <sheet name="Features" sheetId="2" r:id="rId1"/>
    <sheet name="Features Analysis" sheetId="29" r:id="rId2"/>
    <sheet name="Cone of Uncertainty" sheetId="15" r:id="rId3"/>
    <sheet name="byUncertainty" sheetId="10" state="hidden" r:id="rId4"/>
    <sheet name="byComplexity" sheetId="14" state="hidden" r:id="rId5"/>
    <sheet name="Assumtions" sheetId="30" r:id="rId6"/>
    <sheet name="Definition of Done" sheetId="31" r:id="rId7"/>
    <sheet name="Team Shape" sheetId="32" r:id="rId8"/>
    <sheet name="ConeOfUncertainty Setup" sheetId="3" r:id="rId9"/>
  </sheets>
  <externalReferences>
    <externalReference r:id="rId10"/>
  </externalReferences>
  <definedNames>
    <definedName name="_xlnm._FilterDatabase" localSheetId="0" hidden="1">Features!$A$2:$L$27</definedName>
    <definedName name="avgVelocity" localSheetId="1">'[1]Cone of Uncertainty'!$C$14</definedName>
    <definedName name="avgVelocity">'Cone of Uncertainty'!$D$13</definedName>
    <definedName name="BusinessUncertainty" localSheetId="1">'[1]ConeOfUncertainty Setup'!$N$3:$N$5</definedName>
    <definedName name="BusinessUncertainty">'ConeOfUncertainty Setup'!$O$4:$O$6</definedName>
    <definedName name="exchangerate" localSheetId="1">'[1]FY21 Exchange Rates'!$B$4:$C$20</definedName>
    <definedName name="exchangerate">#REF!</definedName>
    <definedName name="grades">#REF!</definedName>
    <definedName name="locations" localSheetId="1">[1]Locations!$A$1:$B$27</definedName>
    <definedName name="locations">#REF!</definedName>
    <definedName name="lst_SP_to_TShirt" localSheetId="1">'[1]ConeOfUncertainty Setup'!$I$16:$J$25</definedName>
    <definedName name="lst_SP_to_TShirt">'ConeOfUncertainty Setup'!$J$13:$K$22</definedName>
    <definedName name="lst_TShirt_2_SP_Avg" comment="used for looking up the Most Likely Case SP sizing based on a TShirt selected by the user. this is an *average* of all Fibonaci numbers mapped to that TShirt size - we know it's NOT ideal ;) but best we can do" localSheetId="1">'[1]ConeOfUncertainty Setup'!$I$3:$J$9</definedName>
    <definedName name="lst_TShirt_2_SP_Avg" comment="used for looking up the Most Likely Case SP sizing based on a TShirt selected by the user. this is an *average* of all Fibonaci numbers mapped to that TShirt size - we know it's NOT ideal ;) but best we can do">'ConeOfUncertainty Setup'!$J$4:$K$10</definedName>
    <definedName name="lst_tshirt_bu" localSheetId="1">'[1]ConeOfUncertainty Setup'!$B$3:$E$9</definedName>
    <definedName name="lst_tshirt_bu">'ConeOfUncertainty Setup'!$C$4:$F$10</definedName>
    <definedName name="lst_tshirt_tc" localSheetId="1">'[1]ConeOfUncertainty Setup'!$B$12:$E$18</definedName>
    <definedName name="lst_tshirt_tc">'ConeOfUncertainty Setup'!$C$13:$F$19</definedName>
    <definedName name="rates" localSheetId="1">#REF!</definedName>
    <definedName name="rates">#REF!</definedName>
    <definedName name="stdcost" localSheetId="1">'[1]FY21 SCM - GBP'!$A$8:$I$384</definedName>
    <definedName name="stdcost">#REF!</definedName>
    <definedName name="TechnicalComplexity" localSheetId="1">'[1]ConeOfUncertainty Setup'!$R$3:$R$5</definedName>
    <definedName name="TechnicalComplexity">'ConeOfUncertainty Setup'!$O$13:$O$15</definedName>
    <definedName name="val_phases" localSheetId="1">'[1]ConeOfUncertainty Setup'!$V$3:$V$5</definedName>
    <definedName name="val_phases">'ConeOfUncertainty Setup'!$S$4:$S$6</definedName>
    <definedName name="val_phases_all">'ConeOfUncertainty Setup'!$S$4:$S$7</definedName>
    <definedName name="val_SP" localSheetId="1">'[1]ConeOfUncertainty Setup'!$I$16:$I$25</definedName>
    <definedName name="val_SP">'ConeOfUncertainty Setup'!$J$13:$J$22</definedName>
    <definedName name="val_TShirt" localSheetId="1">'[1]ConeOfUncertainty Setup'!$I$3:$I$9</definedName>
    <definedName name="val_TShirt">'ConeOfUncertainty Setup'!$J$4:$J$10</definedName>
    <definedName name="XS">Features!$N$6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5" l="1"/>
  <c r="F9" i="15" l="1"/>
  <c r="D11" i="29" l="1" a="1"/>
  <c r="D11" i="29" s="1"/>
  <c r="D10" i="29" a="1"/>
  <c r="D10" i="29" s="1"/>
  <c r="D9" i="29" a="1"/>
  <c r="D9" i="29" s="1"/>
  <c r="D8" i="29" a="1"/>
  <c r="D8" i="29" s="1"/>
  <c r="D7" i="29" a="1"/>
  <c r="D7" i="29" s="1"/>
  <c r="D6" i="29" a="1"/>
  <c r="D6" i="29" s="1"/>
  <c r="D12" i="29" l="1"/>
  <c r="K3" i="2" l="1"/>
  <c r="N3" i="2"/>
  <c r="M3" i="2" s="1"/>
  <c r="K4" i="2"/>
  <c r="N4" i="2"/>
  <c r="M4" i="2" s="1"/>
  <c r="K5" i="2"/>
  <c r="N5" i="2"/>
  <c r="M5" i="2" s="1"/>
  <c r="K6" i="2"/>
  <c r="N6" i="2"/>
  <c r="M6" i="2" s="1"/>
  <c r="K7" i="2"/>
  <c r="N7" i="2"/>
  <c r="M7" i="2" s="1"/>
  <c r="K8" i="2"/>
  <c r="N8" i="2"/>
  <c r="M8" i="2" s="1"/>
  <c r="K9" i="2"/>
  <c r="N9" i="2"/>
  <c r="M9" i="2" s="1"/>
  <c r="K10" i="2"/>
  <c r="N10" i="2"/>
  <c r="M10" i="2" s="1"/>
  <c r="K11" i="2"/>
  <c r="N11" i="2"/>
  <c r="M11" i="2" s="1"/>
  <c r="K12" i="2"/>
  <c r="N12" i="2"/>
  <c r="M12" i="2" s="1"/>
  <c r="K13" i="2"/>
  <c r="N13" i="2"/>
  <c r="M13" i="2" s="1"/>
  <c r="K14" i="2"/>
  <c r="N14" i="2"/>
  <c r="M14" i="2" s="1"/>
  <c r="K15" i="2"/>
  <c r="N15" i="2"/>
  <c r="M15" i="2" s="1"/>
  <c r="K16" i="2"/>
  <c r="N16" i="2"/>
  <c r="M16" i="2" s="1"/>
  <c r="K17" i="2"/>
  <c r="N17" i="2"/>
  <c r="M17" i="2" s="1"/>
  <c r="K18" i="2"/>
  <c r="N18" i="2"/>
  <c r="M18" i="2" s="1"/>
  <c r="K19" i="2"/>
  <c r="N19" i="2"/>
  <c r="M19" i="2" s="1"/>
  <c r="K20" i="2"/>
  <c r="N20" i="2"/>
  <c r="M20" i="2" s="1"/>
  <c r="K21" i="2"/>
  <c r="N21" i="2"/>
  <c r="M21" i="2" s="1"/>
  <c r="K22" i="2"/>
  <c r="N22" i="2"/>
  <c r="M22" i="2" s="1"/>
  <c r="K23" i="2"/>
  <c r="N23" i="2"/>
  <c r="M23" i="2" s="1"/>
  <c r="K24" i="2"/>
  <c r="N24" i="2"/>
  <c r="M24" i="2" s="1"/>
  <c r="K25" i="2"/>
  <c r="N25" i="2"/>
  <c r="M25" i="2" s="1"/>
  <c r="L9" i="2" l="1"/>
  <c r="R8" i="29" a="1"/>
  <c r="R8" i="29" s="1"/>
  <c r="F8" i="29" a="1"/>
  <c r="F8" i="29" s="1"/>
  <c r="L7" i="29" a="1"/>
  <c r="L7" i="29" s="1"/>
  <c r="F11" i="29" a="1"/>
  <c r="F11" i="29" s="1"/>
  <c r="L6" i="29" a="1"/>
  <c r="L6" i="29" s="1"/>
  <c r="F9" i="29" a="1"/>
  <c r="F9" i="29" s="1"/>
  <c r="F7" i="29" a="1"/>
  <c r="F7" i="29" s="1"/>
  <c r="R6" i="29" a="1"/>
  <c r="R6" i="29" s="1"/>
  <c r="L8" i="29" a="1"/>
  <c r="L8" i="29" s="1"/>
  <c r="R7" i="29" a="1"/>
  <c r="R7" i="29" s="1"/>
  <c r="F6" i="29" a="1"/>
  <c r="F6" i="29" s="1"/>
  <c r="F10" i="29" a="1"/>
  <c r="F10" i="29" s="1"/>
  <c r="J4" i="2"/>
  <c r="J18" i="2"/>
  <c r="J25" i="2"/>
  <c r="J17" i="2"/>
  <c r="L10" i="2"/>
  <c r="J12" i="2"/>
  <c r="J11" i="2"/>
  <c r="J5" i="2"/>
  <c r="J10" i="2"/>
  <c r="J7" i="2"/>
  <c r="L18" i="2"/>
  <c r="J23" i="2"/>
  <c r="J15" i="2"/>
  <c r="J20" i="2"/>
  <c r="L23" i="2"/>
  <c r="L17" i="2"/>
  <c r="J13" i="2"/>
  <c r="L25" i="2"/>
  <c r="J19" i="2"/>
  <c r="J24" i="2"/>
  <c r="L24" i="2"/>
  <c r="L6" i="2"/>
  <c r="J6" i="2"/>
  <c r="J3" i="2"/>
  <c r="J21" i="2"/>
  <c r="L12" i="2"/>
  <c r="J8" i="2"/>
  <c r="L8" i="2"/>
  <c r="L14" i="2"/>
  <c r="J14" i="2"/>
  <c r="J16" i="2"/>
  <c r="L16" i="2"/>
  <c r="L4" i="2"/>
  <c r="L22" i="2"/>
  <c r="J22" i="2"/>
  <c r="L20" i="2"/>
  <c r="L15" i="2"/>
  <c r="J9" i="2"/>
  <c r="L7" i="2"/>
  <c r="L21" i="2"/>
  <c r="L13" i="2"/>
  <c r="L5" i="2"/>
  <c r="L19" i="2"/>
  <c r="L11" i="2"/>
  <c r="L3" i="2"/>
  <c r="F12" i="29" l="1"/>
  <c r="R9" i="29"/>
  <c r="G11" i="29" a="1"/>
  <c r="G11" i="29" s="1"/>
  <c r="G9" i="29" a="1"/>
  <c r="G9" i="29" s="1"/>
  <c r="G7" i="29" a="1"/>
  <c r="G7" i="29" s="1"/>
  <c r="M8" i="29" a="1"/>
  <c r="M8" i="29" s="1"/>
  <c r="S7" i="29" a="1"/>
  <c r="S7" i="29" s="1"/>
  <c r="G8" i="29" a="1"/>
  <c r="G8" i="29" s="1"/>
  <c r="G6" i="29" a="1"/>
  <c r="G6" i="29" s="1"/>
  <c r="M7" i="29" a="1"/>
  <c r="M7" i="29" s="1"/>
  <c r="G10" i="29" a="1"/>
  <c r="G10" i="29" s="1"/>
  <c r="S6" i="29" a="1"/>
  <c r="S6" i="29" s="1"/>
  <c r="M6" i="29" a="1"/>
  <c r="M6" i="29" s="1"/>
  <c r="S8" i="29" a="1"/>
  <c r="S8" i="29" s="1"/>
  <c r="Q6" i="29" a="1"/>
  <c r="Q6" i="29" s="1"/>
  <c r="Q8" i="29" a="1"/>
  <c r="Q8" i="29" s="1"/>
  <c r="E8" i="29" a="1"/>
  <c r="E8" i="29" s="1"/>
  <c r="K7" i="29" a="1"/>
  <c r="K7" i="29" s="1"/>
  <c r="E11" i="29" a="1"/>
  <c r="E11" i="29" s="1"/>
  <c r="K6" i="29" a="1"/>
  <c r="K6" i="29" s="1"/>
  <c r="Q7" i="29" a="1"/>
  <c r="Q7" i="29" s="1"/>
  <c r="E9" i="29" a="1"/>
  <c r="E9" i="29" s="1"/>
  <c r="E7" i="29" a="1"/>
  <c r="E7" i="29" s="1"/>
  <c r="E6" i="29" a="1"/>
  <c r="E6" i="29" s="1"/>
  <c r="K8" i="29" a="1"/>
  <c r="K8" i="29" s="1"/>
  <c r="E10" i="29" a="1"/>
  <c r="E10" i="29" s="1"/>
  <c r="L9" i="29"/>
  <c r="F8" i="15"/>
  <c r="F6" i="15"/>
  <c r="F4" i="15"/>
  <c r="M9" i="29" l="1"/>
  <c r="S9" i="29"/>
  <c r="G12" i="29"/>
  <c r="E12" i="29"/>
  <c r="Q9" i="29"/>
  <c r="K9" i="29"/>
  <c r="K26" i="2"/>
  <c r="D10" i="15" l="1"/>
  <c r="E10" i="15"/>
  <c r="C9" i="29"/>
  <c r="J8" i="29"/>
  <c r="P7" i="29"/>
  <c r="P6" i="29"/>
  <c r="C8" i="29"/>
  <c r="C7" i="29"/>
  <c r="C10" i="29"/>
  <c r="C11" i="29"/>
  <c r="J6" i="29"/>
  <c r="J7" i="29"/>
  <c r="P8" i="29"/>
  <c r="C6" i="29"/>
  <c r="D6" i="15"/>
  <c r="E6" i="15" s="1"/>
  <c r="L26" i="2"/>
  <c r="D8" i="15" s="1"/>
  <c r="E8" i="15" s="1"/>
  <c r="J26" i="2"/>
  <c r="D4" i="15" s="1"/>
  <c r="E4" i="15" s="1"/>
  <c r="D19" i="15" l="1"/>
  <c r="P9" i="29"/>
  <c r="J9" i="29"/>
  <c r="C12"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tc={D91021D0-8738-43C2-BD86-E25BA4E3AE9E}</author>
    <author>tc={A811496F-72E2-4D06-ABFE-E4F7C9478640}</author>
    <author>tc={FFC5293C-D332-4A39-9D12-CAB4FE8AAEA1}</author>
  </authors>
  <commentList>
    <comment ref="D13" authorId="0" shapeId="0" xr:uid="{D91021D0-8738-43C2-BD86-E25BA4E3AE9E}">
      <text>
        <t>[Threaded comment]
Your version of Excel allows you to read this threaded comment; however, any edits to it will get removed if the file is opened in a newer version of Excel. Learn more: https://go.microsoft.com/fwlink/?linkid=870924
Comment:
    Add Avg Velocity for the Team(s) that will implement the features</t>
      </text>
    </comment>
    <comment ref="D14" authorId="1" shapeId="0" xr:uid="{A811496F-72E2-4D06-ABFE-E4F7C9478640}">
      <text>
        <t>[Threaded comment]
Your version of Excel allows you to read this threaded comment; however, any edits to it will get removed if the file is opened in a newer version of Excel. Learn more: https://go.microsoft.com/fwlink/?linkid=870924
Comment:
    If needed please add here any effort for the UAT / Preparation for Go-Live. If more granularity is needed then “whole” sprints, please mark this as zero and add in the ‘Features Analysis’ sheet a line with the needed effort</t>
      </text>
    </comment>
    <comment ref="D15" authorId="2" shapeId="0" xr:uid="{FFC5293C-D332-4A39-9D12-CAB4FE8AAEA1}">
      <text>
        <t>[Threaded comment]
Your version of Excel allows you to read this threaded comment; however, any edits to it will get removed if the file is opened in a newer version of Excel. Learn more: https://go.microsoft.com/fwlink/?linkid=870924
Comment:
    add if needed. If this is part of the Discovery - you will not needed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tc={2189B531-8130-4B18-A836-794D3506CDBD}</author>
    <author>tc={5923EF78-DF0A-4F57-82B4-BFB7ABC4FC3C}</author>
    <author>tc={5494F8AC-4EB6-490E-AD6B-BF174852C587}</author>
    <author>tc={8B9E4024-65F7-40AF-88A5-92C6663A27BF}</author>
    <author>tc={DC53D958-8121-4956-98A0-CE8C7D0123C7}</author>
  </authors>
  <commentList>
    <comment ref="G2" authorId="0" shapeId="0" xr:uid="{2189B531-8130-4B18-A836-794D3506CDBD}">
      <text>
        <t>[Threaded comment]
Your version of Excel allows you to read this threaded comment; however, any edits to it will get removed if the file is opened in a newer version of Excel. Learn more: https://go.microsoft.com/fwlink/?linkid=870924
Comment:
    The cone of uncertainty based on statistical data for a product 
You could adjust these value with your statistics if needed</t>
      </text>
    </comment>
    <comment ref="L2" authorId="1" shapeId="0" xr:uid="{5923EF78-DF0A-4F57-82B4-BFB7ABC4FC3C}">
      <text>
        <t>[Threaded comment]
Your version of Excel allows you to read this threaded comment; however, any edits to it will get removed if the file is opened in a newer version of Excel. Learn more: https://go.microsoft.com/fwlink/?linkid=870924
Comment:
    M size correspont to 8 or 13 SP 
the average is 10.5</t>
      </text>
    </comment>
    <comment ref="P2" authorId="2" shapeId="0" xr:uid="{5494F8AC-4EB6-490E-AD6B-BF174852C587}">
      <text>
        <t>[Threaded comment]
Your version of Excel allows you to read this threaded comment; however, any edits to it will get removed if the file is opened in a newer version of Excel. Learn more: https://go.microsoft.com/fwlink/?linkid=870924
Comment:
    Possible values for 
Business Uncertainty</t>
      </text>
    </comment>
    <comment ref="T2" authorId="3" shapeId="0" xr:uid="{8B9E4024-65F7-40AF-88A5-92C6663A27BF}">
      <text>
        <t>[Threaded comment]
Your version of Excel allows you to read this threaded comment; however, any edits to it will get removed if the file is opened in a newer version of Excel. Learn more: https://go.microsoft.com/fwlink/?linkid=870924
Comment:
    Phase when we plan to
implement the feature</t>
      </text>
    </comment>
    <comment ref="P11" authorId="4" shapeId="0" xr:uid="{DC53D958-8121-4956-98A0-CE8C7D0123C7}">
      <text>
        <t>[Threaded comment]
Your version of Excel allows you to read this threaded comment; however, any edits to it will get removed if the file is opened in a newer version of Excel. Learn more: https://go.microsoft.com/fwlink/?linkid=870924
Comment:
    Possible values for 
Technical Complexity</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<sst xmlns="http://schemas.openxmlformats.org/spreadsheetml/2006/main" count="356" uniqueCount="162">
  <si>
    <t>Features backlog</t>
  </si>
  <si>
    <t>ID</t>
  </si>
  <si>
    <t>Capability</t>
  </si>
  <si>
    <t>Backlog Item 
(Feature or Story)</t>
  </si>
  <si>
    <t>Comments</t>
  </si>
  <si>
    <t>Phase</t>
  </si>
  <si>
    <t>Tshirt Sizing</t>
  </si>
  <si>
    <t>Story Points</t>
  </si>
  <si>
    <t>Business Uncertainty</t>
  </si>
  <si>
    <t>Technical Complexity</t>
  </si>
  <si>
    <t>BEST CASE</t>
  </si>
  <si>
    <t>MOST LIKELY</t>
  </si>
  <si>
    <t>WORST CASE</t>
  </si>
  <si>
    <t>CONE of Uncertainty</t>
  </si>
  <si>
    <t>Tshirt Size for Cone Calc</t>
  </si>
  <si>
    <t>Capability 1</t>
  </si>
  <si>
    <t>Next</t>
  </si>
  <si>
    <t>XS</t>
  </si>
  <si>
    <t>Low</t>
  </si>
  <si>
    <t>Medium</t>
  </si>
  <si>
    <t>S</t>
  </si>
  <si>
    <t>Feature 5</t>
  </si>
  <si>
    <t>M</t>
  </si>
  <si>
    <t>Feature 6</t>
  </si>
  <si>
    <t>Feature 7</t>
  </si>
  <si>
    <t>Last</t>
  </si>
  <si>
    <t>High</t>
  </si>
  <si>
    <t>Feature 8</t>
  </si>
  <si>
    <t>Feature 9</t>
  </si>
  <si>
    <t>Feature 10</t>
  </si>
  <si>
    <t>Feature 11</t>
  </si>
  <si>
    <t>Later</t>
  </si>
  <si>
    <t>Feature 12</t>
  </si>
  <si>
    <t>Feature 13</t>
  </si>
  <si>
    <t>Capability 2</t>
  </si>
  <si>
    <t>Feature 14</t>
  </si>
  <si>
    <t>L</t>
  </si>
  <si>
    <t>Feature 15</t>
  </si>
  <si>
    <t>Feature 16</t>
  </si>
  <si>
    <t>Feature 17</t>
  </si>
  <si>
    <t>Feature 18</t>
  </si>
  <si>
    <t>XL</t>
  </si>
  <si>
    <t>Feature 19</t>
  </si>
  <si>
    <t>Feature 20</t>
  </si>
  <si>
    <t>Feature 21</t>
  </si>
  <si>
    <t>Feature 22</t>
  </si>
  <si>
    <t>Feature 23</t>
  </si>
  <si>
    <t>XXL</t>
  </si>
  <si>
    <t>Total</t>
  </si>
  <si>
    <t>Features analysis by Uncertainty</t>
  </si>
  <si>
    <t>Features analysis by Complexity</t>
  </si>
  <si>
    <t>(All)</t>
  </si>
  <si>
    <t>Row Labels</t>
  </si>
  <si>
    <t>%tage</t>
  </si>
  <si>
    <t>Number of Uss</t>
  </si>
  <si>
    <t>Best Case (SP)</t>
  </si>
  <si>
    <t>Most Likely (SP)</t>
  </si>
  <si>
    <t>Worst Case (SP)</t>
  </si>
  <si>
    <t>Project timeline</t>
  </si>
  <si>
    <t>No of Sprints in Build Phase</t>
  </si>
  <si>
    <t>Y</t>
  </si>
  <si>
    <t>Best Case</t>
  </si>
  <si>
    <t>Most Likely</t>
  </si>
  <si>
    <t>Worst Case</t>
  </si>
  <si>
    <t>Threshold</t>
  </si>
  <si>
    <t>Build</t>
  </si>
  <si>
    <t>Average Velocity(SP) per Sprint</t>
  </si>
  <si>
    <t>Operate</t>
  </si>
  <si>
    <t>Number of sprints for Operate (handover, releases, UAT, SIT, application support, etc.)</t>
  </si>
  <si>
    <t>Technical Items</t>
  </si>
  <si>
    <t>1. Environment setup for teams (install tools, access to cloud services etc.)
2. Create all environments needed by the engagement: dev, system test, pre-prod, production. 
3. Create a delivery pipeline.
4. NFRs
5. Security testing</t>
  </si>
  <si>
    <t>Business Uncertainty / Size</t>
  </si>
  <si>
    <t>Technical Complexity / Size</t>
  </si>
  <si>
    <t>#</t>
  </si>
  <si>
    <t>Assumptions</t>
  </si>
  <si>
    <r>
      <t xml:space="preserve">This template uses an average velocity (Story Points) to calculate the cone of uncertainty (duration interval). For that to be valid you'll need the estimation team to allign on what "done" means and what activities are included. The below is an </t>
    </r>
    <r>
      <rPr>
        <b/>
        <i/>
        <sz val="16"/>
        <color rgb="FFC00000"/>
        <rFont val="Calibri"/>
        <family val="2"/>
        <scheme val="minor"/>
      </rPr>
      <t>example</t>
    </r>
    <r>
      <rPr>
        <b/>
        <sz val="16"/>
        <color rgb="FFC00000"/>
        <rFont val="Calibri"/>
        <family val="2"/>
        <scheme val="minor"/>
      </rPr>
      <t xml:space="preserve"> as a starting points and should be tailored case-by-case</t>
    </r>
  </si>
  <si>
    <t>Development</t>
  </si>
  <si>
    <t>Technical Implementation Plan confirmed with architects/TL [if needed].</t>
  </si>
  <si>
    <t>Code written and tested locally.</t>
  </si>
  <si>
    <t>Unit Tests developed for Back-end ( 80% code coverage) and Front-end ( 60% code coverage).</t>
  </si>
  <si>
    <t>Code reviewed and approved by at least one mandatory approval.</t>
  </si>
  <si>
    <t>Documentation of model/controllers/sequence diagrams [if needed].</t>
  </si>
  <si>
    <t>IDs for FE elements ( where needed). - checked on code review &amp; testing.</t>
  </si>
  <si>
    <t>Configuration check - (if needed ) added in release notes.</t>
  </si>
  <si>
    <t>Release notes updated.</t>
  </si>
  <si>
    <t>Sonar execution on review - no critical issues accepted.</t>
  </si>
  <si>
    <t>English labels available in CMS ( if needed).</t>
  </si>
  <si>
    <t>All defects reported by testing fixed.</t>
  </si>
  <si>
    <t>Deployment/Demo</t>
  </si>
  <si>
    <t>Changes deployed successfully to Openshift Director env (no build error + sonar passed successfully )  &gt;= 5 SP (2 days before sprint ends), only bug fixing will be allowed.</t>
  </si>
  <si>
    <t>Deployment freeze also 3 hours before demo.</t>
  </si>
  <si>
    <t>Testing</t>
  </si>
  <si>
    <t>Test cases written in Zephyr.</t>
  </si>
  <si>
    <t>Application tested against the mock layer, including error cases and edge.</t>
  </si>
  <si>
    <t>Manual functional test 100% test coverage on test environment.</t>
  </si>
  <si>
    <t>Manual test (basic and advanced) cases executed and passing.</t>
  </si>
  <si>
    <t>Exploratory testing executed.</t>
  </si>
  <si>
    <t>Testing passed 100% on Test Environment.</t>
  </si>
  <si>
    <t>All issues reported as bugs and linked to the stories.</t>
  </si>
  <si>
    <t>Acceptance criteria fulfilled.</t>
  </si>
  <si>
    <t>Test data is documented.</t>
  </si>
  <si>
    <t>NFR fulfilled.</t>
  </si>
  <si>
    <t>Quality Acceptance.</t>
  </si>
  <si>
    <t>No issues with severity worse than Major.</t>
  </si>
  <si>
    <t>Feature documented in TBD owner.</t>
  </si>
  <si>
    <t>User story is updated with latest information/requirements.</t>
  </si>
  <si>
    <t>Automated testing</t>
  </si>
  <si>
    <t>Automated tests written.</t>
  </si>
  <si>
    <t>Automated tests committed to Git.</t>
  </si>
  <si>
    <t>Automated tests executed and validated.</t>
  </si>
  <si>
    <t>Other considerations</t>
  </si>
  <si>
    <t>(TBD story by story</t>
  </si>
  <si>
    <t>OR add a separate story)</t>
  </si>
  <si>
    <t>*all to be covered with Acceptance criteria.</t>
  </si>
  <si>
    <t>Performance.</t>
  </si>
  <si>
    <t>Security.</t>
  </si>
  <si>
    <t>Error handling.</t>
  </si>
  <si>
    <t>Localization.</t>
  </si>
  <si>
    <t>In-house usability testing.</t>
  </si>
  <si>
    <t>Delivery Team(s) Shape</t>
  </si>
  <si>
    <t>Name of Person (if known)</t>
  </si>
  <si>
    <t>Role</t>
  </si>
  <si>
    <t>Grade</t>
  </si>
  <si>
    <t>Scrum Master</t>
  </si>
  <si>
    <t>CL</t>
  </si>
  <si>
    <t>Senior Developer</t>
  </si>
  <si>
    <t>SC</t>
  </si>
  <si>
    <t>Developer</t>
  </si>
  <si>
    <t>SE</t>
  </si>
  <si>
    <t>Senior Tester</t>
  </si>
  <si>
    <t>Tester</t>
  </si>
  <si>
    <t>EN</t>
  </si>
  <si>
    <t>Architect</t>
  </si>
  <si>
    <t>Project Manager</t>
  </si>
  <si>
    <t>Business Analyst</t>
  </si>
  <si>
    <t>Value</t>
  </si>
  <si>
    <t>Business Uncertainty 
Low</t>
  </si>
  <si>
    <t>Business Uncertainty Medium</t>
  </si>
  <si>
    <t>Business Uncertainty High</t>
  </si>
  <si>
    <t>Sizing GoldieLocks: Tshirt to SP Average Lookup</t>
  </si>
  <si>
    <t>Business Uncertainty Values</t>
  </si>
  <si>
    <t>Technical Complexity Values</t>
  </si>
  <si>
    <t>Phases</t>
  </si>
  <si>
    <t>zero</t>
  </si>
  <si>
    <t>Technical Complexity  Low</t>
  </si>
  <si>
    <t>Technical Complexity  Medium</t>
  </si>
  <si>
    <t>Technical Complexity  High</t>
  </si>
  <si>
    <t>Visual Parameters</t>
  </si>
  <si>
    <t>Cone Size</t>
  </si>
  <si>
    <t>Length of threshold</t>
  </si>
  <si>
    <t>Features analysis by Size</t>
  </si>
  <si>
    <t>Phase:</t>
  </si>
  <si>
    <t>Total no of Sprint including (setup, UAT ..)</t>
  </si>
  <si>
    <t>Pantalla Cliente</t>
  </si>
  <si>
    <t>formulario de registro</t>
  </si>
  <si>
    <t>formulario de registro de cliente</t>
  </si>
  <si>
    <t>Login</t>
  </si>
  <si>
    <t>SSO SQL</t>
  </si>
  <si>
    <t>Agendamiento citas</t>
  </si>
  <si>
    <t>formulario de agendamiento</t>
  </si>
  <si>
    <t>sistema de calificacion</t>
  </si>
  <si>
    <t>use modelo de estrellas para lavador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</si>
</sst>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0.0%"/>
    <numFmt numFmtId="166" formatCode="0.0"/>
    <numFmt numFmtId="167" formatCode="#,##0.0"/>
  </numFmts>
  <fonts count="35">
    <font>
      <sz val="11"/>
      <color theme="1"/>
      <name val="Calibri"/>
      <family val="2"/>
      <scheme val="minor"/>
    </font>
    <font>
      <sz val="12"/>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9"/>
      <color rgb="FF000000"/>
      <name val="Arial"/>
      <family val="2"/>
    </font>
    <font>
      <sz val="10"/>
      <color rgb="FF000000"/>
      <name val="Arial Narrow"/>
      <family val="2"/>
    </font>
    <font>
      <sz val="11"/>
      <color theme="1"/>
      <name val="Arial"/>
      <family val="2"/>
    </font>
    <font>
      <b/>
      <sz val="12"/>
      <color rgb="FFFFFFFF"/>
      <name val="Calibri"/>
      <family val="2"/>
      <scheme val="minor"/>
    </font>
    <font>
      <sz val="11"/>
      <name val="Centennial 45 Light"/>
    </font>
    <font>
      <sz val="11"/>
      <name val="Calibri"/>
      <family val="2"/>
      <scheme val="minor"/>
    </font>
    <font>
      <b/>
      <sz val="12"/>
      <color theme="0"/>
      <name val="Calibri"/>
      <family val="2"/>
      <scheme val="minor"/>
    </font>
    <font>
      <sz val="12"/>
      <color theme="0"/>
      <name val="Calibri"/>
      <family val="2"/>
      <scheme val="minor"/>
    </font>
    <font>
      <sz val="11"/>
      <color theme="0"/>
      <name val="Arial"/>
      <family val="2"/>
    </font>
    <font>
      <b/>
      <sz val="11"/>
      <color theme="0"/>
      <name val="Arial"/>
      <family val="2"/>
    </font>
    <font>
      <b/>
      <sz val="16"/>
      <color rgb="FFC00000"/>
      <name val="Calibri"/>
      <family val="2"/>
      <scheme val="minor"/>
    </font>
    <font>
      <b/>
      <sz val="14"/>
      <color rgb="FFC00000"/>
      <name val="Calibri"/>
      <family val="2"/>
      <scheme val="minor"/>
    </font>
    <font>
      <b/>
      <i/>
      <sz val="16"/>
      <color rgb="FFC00000"/>
      <name val="Calibri"/>
      <family val="2"/>
      <scheme val="minor"/>
    </font>
    <font>
      <b/>
      <sz val="14"/>
      <name val="Helvetica Neue"/>
      <family val="2"/>
    </font>
    <font>
      <sz val="14"/>
      <name val="Helvetica Neue"/>
      <family val="2"/>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354549"/>
        <bgColor indexed="64"/>
      </patternFill>
    </fill>
    <fill>
      <patternFill patternType="solid">
        <fgColor rgb="FF487B48"/>
        <bgColor indexed="64"/>
      </patternFill>
    </fill>
    <fill>
      <patternFill patternType="solid">
        <fgColor rgb="FFF7BE66"/>
        <bgColor indexed="64"/>
      </patternFill>
    </fill>
    <fill>
      <patternFill patternType="solid">
        <fgColor rgb="FFCA3B41"/>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theme="0"/>
        <bgColor indexed="64"/>
      </patternFill>
    </fill>
    <fill>
      <patternFill patternType="solid">
        <fgColor theme="5" tint="-0.249977111117893"/>
        <bgColor indexed="64"/>
      </patternFill>
    </fill>
    <fill>
      <patternFill patternType="solid">
        <fgColor theme="1" tint="0.34998626667073579"/>
        <bgColor indexed="64"/>
      </patternFill>
    </fill>
    <fill>
      <patternFill patternType="solid">
        <fgColor rgb="FFFFFF00"/>
        <bgColor indexed="64"/>
      </patternFill>
    </fill>
    <fill>
      <patternFill patternType="solid">
        <fgColor theme="1" tint="0.249977111117893"/>
        <bgColor theme="1" tint="0.249977111117893"/>
      </patternFill>
    </fill>
    <fill>
      <patternFill patternType="solid">
        <fgColor rgb="FF963634"/>
        <bgColor indexed="64"/>
      </patternFill>
    </fill>
  </fills>
  <borders count="4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theme="0" tint="-0.34998626667073579"/>
      </bottom>
      <diagonal/>
    </border>
    <border>
      <left/>
      <right/>
      <top/>
      <bottom style="medium">
        <color theme="0" tint="-0.34998626667073579"/>
      </bottom>
      <diagonal/>
    </border>
    <border>
      <left style="thin">
        <color indexed="64"/>
      </left>
      <right/>
      <top/>
      <bottom/>
      <diagonal/>
    </border>
    <border>
      <left style="thin">
        <color auto="1"/>
      </left>
      <right/>
      <top style="thin">
        <color auto="1"/>
      </top>
      <bottom style="thin">
        <color auto="1"/>
      </bottom>
      <diagonal/>
    </border>
    <border>
      <left/>
      <right style="thin">
        <color indexed="64"/>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thin">
        <color theme="0" tint="-0.34998626667073579"/>
      </right>
      <top style="medium">
        <color theme="0"/>
      </top>
      <bottom style="medium">
        <color theme="0"/>
      </bottom>
      <diagonal/>
    </border>
    <border>
      <left style="thin">
        <color theme="0" tint="-0.34998626667073579"/>
      </left>
      <right style="thin">
        <color theme="0" tint="-0.34998626667073579"/>
      </right>
      <top style="medium">
        <color theme="0"/>
      </top>
      <bottom style="medium">
        <color theme="0"/>
      </bottom>
      <diagonal/>
    </border>
    <border>
      <left style="thin">
        <color theme="0" tint="-0.34998626667073579"/>
      </left>
      <right/>
      <top style="medium">
        <color theme="0"/>
      </top>
      <bottom style="medium">
        <color theme="0"/>
      </bottom>
      <diagonal/>
    </border>
    <border>
      <left/>
      <right style="thin">
        <color theme="0" tint="-0.34998626667073579"/>
      </right>
      <top style="medium">
        <color theme="0"/>
      </top>
      <bottom style="medium">
        <color theme="0"/>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right/>
      <top style="medium">
        <color indexed="64"/>
      </top>
      <bottom style="thin">
        <color auto="1"/>
      </bottom>
      <diagonal/>
    </border>
    <border>
      <left style="medium">
        <color indexed="64"/>
      </left>
      <right style="thin">
        <color auto="1"/>
      </right>
      <top style="thin">
        <color auto="1"/>
      </top>
      <bottom style="thin">
        <color auto="1"/>
      </bottom>
      <diagonal/>
    </border>
  </borders>
  <cellStyleXfs count="47">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24" fillId="0" borderId="0"/>
    <xf numFmtId="164" fontId="2" fillId="0" borderId="0" applyFont="0" applyFill="0" applyBorder="0" applyAlignment="0" applyProtection="0"/>
    <xf numFmtId="43" fontId="2" fillId="0" borderId="0" applyFont="0" applyFill="0" applyBorder="0" applyAlignment="0" applyProtection="0"/>
  </cellStyleXfs>
  <cellXfs count="173">
    <xf numFmtId="0" fontId="0" fillId="0" borderId="0" xfId="0"/>
    <xf numFmtId="0" fontId="0" fillId="0" borderId="10" xfId="0" applyBorder="1" applyAlignment="1">
      <alignment horizontal="left"/>
    </xf>
    <xf numFmtId="0" fontId="0" fillId="35" borderId="0" xfId="0" applyFill="1"/>
    <xf numFmtId="0" fontId="0" fillId="0" borderId="10" xfId="0" applyBorder="1"/>
    <xf numFmtId="0" fontId="19" fillId="0" borderId="0" xfId="0" applyFont="1"/>
    <xf numFmtId="0" fontId="20" fillId="0" borderId="0" xfId="0" applyFont="1"/>
    <xf numFmtId="0" fontId="20" fillId="0" borderId="0" xfId="0" applyFont="1" applyAlignment="1">
      <alignment horizontal="center"/>
    </xf>
    <xf numFmtId="0" fontId="20" fillId="0" borderId="0" xfId="0" applyFont="1" applyAlignment="1">
      <alignment horizontal="left" readingOrder="1"/>
    </xf>
    <xf numFmtId="9" fontId="20" fillId="0" borderId="0" xfId="43" applyFont="1"/>
    <xf numFmtId="0" fontId="20" fillId="0" borderId="0" xfId="0" applyFont="1" applyBorder="1"/>
    <xf numFmtId="0" fontId="20" fillId="0" borderId="12" xfId="0" applyFont="1" applyBorder="1"/>
    <xf numFmtId="0" fontId="20" fillId="0" borderId="11" xfId="0" applyFont="1" applyBorder="1"/>
    <xf numFmtId="0" fontId="20" fillId="0" borderId="0" xfId="0" applyFont="1" applyBorder="1" applyAlignment="1">
      <alignment horizontal="center"/>
    </xf>
    <xf numFmtId="0" fontId="20" fillId="0" borderId="0" xfId="0" applyFont="1" applyBorder="1" applyAlignment="1">
      <alignment horizontal="left" readingOrder="1"/>
    </xf>
    <xf numFmtId="9" fontId="0" fillId="0" borderId="10" xfId="43" applyFont="1" applyBorder="1"/>
    <xf numFmtId="0" fontId="22" fillId="0" borderId="0" xfId="0" applyFont="1"/>
    <xf numFmtId="0" fontId="20" fillId="33" borderId="0" xfId="0" applyFont="1" applyFill="1" applyBorder="1"/>
    <xf numFmtId="0" fontId="21" fillId="36" borderId="0" xfId="0" applyFont="1" applyFill="1" applyBorder="1" applyAlignment="1">
      <alignment vertical="top"/>
    </xf>
    <xf numFmtId="0" fontId="20" fillId="37" borderId="13" xfId="0" applyFont="1" applyFill="1" applyBorder="1"/>
    <xf numFmtId="0" fontId="20" fillId="38" borderId="0" xfId="0" applyFont="1" applyFill="1"/>
    <xf numFmtId="0" fontId="20" fillId="39" borderId="15" xfId="0" applyFont="1" applyFill="1" applyBorder="1"/>
    <xf numFmtId="0" fontId="0" fillId="0" borderId="10" xfId="0" applyBorder="1" applyAlignment="1">
      <alignment horizontal="center"/>
    </xf>
    <xf numFmtId="0" fontId="0" fillId="0" borderId="10" xfId="0" applyBorder="1" applyAlignment="1">
      <alignment horizontal="center" vertical="center"/>
    </xf>
    <xf numFmtId="0" fontId="19" fillId="0" borderId="10" xfId="0" applyFont="1" applyBorder="1"/>
    <xf numFmtId="0" fontId="19" fillId="0" borderId="10" xfId="0" applyFont="1" applyBorder="1" applyAlignment="1">
      <alignment wrapText="1"/>
    </xf>
    <xf numFmtId="0" fontId="20" fillId="0" borderId="0" xfId="0" applyFont="1" applyFill="1" applyBorder="1"/>
    <xf numFmtId="0" fontId="20" fillId="0" borderId="0" xfId="0" applyFont="1" applyFill="1"/>
    <xf numFmtId="0" fontId="21" fillId="0" borderId="0" xfId="0" applyFont="1" applyFill="1" applyBorder="1" applyAlignment="1">
      <alignment vertical="top"/>
    </xf>
    <xf numFmtId="0" fontId="20" fillId="0" borderId="12" xfId="0" applyFont="1" applyFill="1" applyBorder="1"/>
    <xf numFmtId="0" fontId="20" fillId="0" borderId="11" xfId="0" applyFont="1" applyFill="1" applyBorder="1"/>
    <xf numFmtId="0" fontId="20" fillId="0" borderId="0" xfId="0" applyFont="1" applyFill="1" applyBorder="1" applyAlignment="1">
      <alignment horizontal="left" readingOrder="1"/>
    </xf>
    <xf numFmtId="0" fontId="23" fillId="41" borderId="0" xfId="0" applyFont="1" applyFill="1" applyBorder="1" applyAlignment="1">
      <alignment horizontal="center" vertical="top" wrapText="1" readingOrder="1"/>
    </xf>
    <xf numFmtId="0" fontId="23" fillId="41" borderId="0" xfId="0" applyFont="1" applyFill="1" applyBorder="1" applyAlignment="1">
      <alignment horizontal="left" vertical="top" wrapText="1" readingOrder="1"/>
    </xf>
    <xf numFmtId="9" fontId="23" fillId="41" borderId="0" xfId="43" applyFont="1" applyFill="1" applyBorder="1" applyAlignment="1">
      <alignment horizontal="left" vertical="top" wrapText="1" readingOrder="1"/>
    </xf>
    <xf numFmtId="0" fontId="23" fillId="41" borderId="10" xfId="0" applyFont="1" applyFill="1" applyBorder="1" applyAlignment="1">
      <alignment horizontal="center" vertical="center" wrapText="1" readingOrder="1"/>
    </xf>
    <xf numFmtId="0" fontId="0" fillId="42" borderId="10" xfId="0" applyFill="1" applyBorder="1"/>
    <xf numFmtId="0" fontId="29" fillId="36" borderId="10" xfId="0" applyFont="1" applyFill="1" applyBorder="1" applyAlignment="1">
      <alignment vertical="center" readingOrder="1"/>
    </xf>
    <xf numFmtId="0" fontId="29" fillId="36" borderId="14" xfId="0" applyFont="1" applyFill="1" applyBorder="1" applyAlignment="1">
      <alignment horizontal="center" vertical="center" wrapText="1" readingOrder="1"/>
    </xf>
    <xf numFmtId="0" fontId="29" fillId="36" borderId="24" xfId="0" applyFont="1" applyFill="1" applyBorder="1" applyAlignment="1">
      <alignment horizontal="center" vertical="center" wrapText="1" readingOrder="1"/>
    </xf>
    <xf numFmtId="0" fontId="29" fillId="36" borderId="16" xfId="0" applyFont="1" applyFill="1" applyBorder="1" applyAlignment="1">
      <alignment horizontal="center" vertical="center" wrapText="1" readingOrder="1"/>
    </xf>
    <xf numFmtId="165" fontId="28" fillId="36" borderId="22" xfId="0" applyNumberFormat="1" applyFont="1" applyFill="1" applyBorder="1" applyAlignment="1">
      <alignment horizontal="center" vertical="center"/>
    </xf>
    <xf numFmtId="167" fontId="28" fillId="36" borderId="26" xfId="0" applyNumberFormat="1" applyFont="1" applyFill="1" applyBorder="1" applyAlignment="1">
      <alignment horizontal="center" vertical="center"/>
    </xf>
    <xf numFmtId="167" fontId="28" fillId="36" borderId="23" xfId="0" applyNumberFormat="1" applyFont="1" applyFill="1" applyBorder="1" applyAlignment="1">
      <alignment horizontal="center" vertical="center"/>
    </xf>
    <xf numFmtId="0" fontId="28" fillId="36" borderId="17" xfId="0" applyFont="1" applyFill="1" applyBorder="1" applyAlignment="1">
      <alignment horizontal="left"/>
    </xf>
    <xf numFmtId="0" fontId="29" fillId="36" borderId="14" xfId="0" applyFont="1" applyFill="1" applyBorder="1" applyAlignment="1">
      <alignment horizontal="center" vertical="center" readingOrder="1"/>
    </xf>
    <xf numFmtId="0" fontId="29" fillId="36" borderId="24" xfId="0" applyFont="1" applyFill="1" applyBorder="1" applyAlignment="1">
      <alignment horizontal="center" vertical="center" wrapText="1"/>
    </xf>
    <xf numFmtId="0" fontId="29" fillId="36" borderId="16" xfId="0" applyFont="1" applyFill="1" applyBorder="1" applyAlignment="1">
      <alignment horizontal="center" vertical="center" wrapText="1"/>
    </xf>
    <xf numFmtId="165" fontId="29" fillId="36" borderId="14" xfId="0" applyNumberFormat="1" applyFont="1" applyFill="1" applyBorder="1" applyAlignment="1">
      <alignment horizontal="center" vertical="center" wrapText="1" readingOrder="1"/>
    </xf>
    <xf numFmtId="167" fontId="29" fillId="36" borderId="24" xfId="0" applyNumberFormat="1" applyFont="1" applyFill="1" applyBorder="1" applyAlignment="1">
      <alignment horizontal="center" vertical="center" wrapText="1" readingOrder="1"/>
    </xf>
    <xf numFmtId="167" fontId="29" fillId="36" borderId="16" xfId="0" applyNumberFormat="1" applyFont="1" applyFill="1" applyBorder="1" applyAlignment="1">
      <alignment horizontal="center" vertical="center" wrapText="1" readingOrder="1"/>
    </xf>
    <xf numFmtId="0" fontId="29" fillId="36" borderId="10" xfId="0" applyFont="1" applyFill="1" applyBorder="1" applyAlignment="1">
      <alignment horizontal="left" vertical="center" wrapText="1" readingOrder="1"/>
    </xf>
    <xf numFmtId="0" fontId="27" fillId="43" borderId="33" xfId="0" applyFont="1" applyFill="1" applyBorder="1" applyAlignment="1">
      <alignment horizontal="center" vertical="center" wrapText="1" readingOrder="1"/>
    </xf>
    <xf numFmtId="0" fontId="27" fillId="43" borderId="34" xfId="0" applyFont="1" applyFill="1" applyBorder="1" applyAlignment="1">
      <alignment horizontal="center" vertical="center" wrapText="1" readingOrder="1"/>
    </xf>
    <xf numFmtId="0" fontId="27" fillId="43" borderId="34" xfId="0" applyFont="1" applyFill="1" applyBorder="1" applyAlignment="1">
      <alignment horizontal="left" vertical="center" wrapText="1" readingOrder="1"/>
    </xf>
    <xf numFmtId="0" fontId="27" fillId="43" borderId="35" xfId="0" applyFont="1" applyFill="1" applyBorder="1" applyAlignment="1">
      <alignment horizontal="left" vertical="center" wrapText="1" readingOrder="1"/>
    </xf>
    <xf numFmtId="0" fontId="27" fillId="43" borderId="35" xfId="0" applyFont="1" applyFill="1" applyBorder="1" applyAlignment="1">
      <alignment horizontal="center" vertical="center" wrapText="1" readingOrder="1"/>
    </xf>
    <xf numFmtId="9" fontId="27" fillId="43" borderId="36" xfId="0" applyNumberFormat="1" applyFont="1" applyFill="1" applyBorder="1" applyAlignment="1">
      <alignment horizontal="center" vertical="center" wrapText="1" readingOrder="1"/>
    </xf>
    <xf numFmtId="0" fontId="27" fillId="43" borderId="32" xfId="0" applyFont="1" applyFill="1" applyBorder="1"/>
    <xf numFmtId="1" fontId="18" fillId="44" borderId="10" xfId="0" applyNumberFormat="1" applyFont="1" applyFill="1" applyBorder="1" applyAlignment="1">
      <alignment horizontal="center"/>
    </xf>
    <xf numFmtId="0" fontId="0" fillId="0" borderId="0" xfId="0" applyFill="1"/>
    <xf numFmtId="49" fontId="0" fillId="0" borderId="10" xfId="0" applyNumberFormat="1" applyBorder="1"/>
    <xf numFmtId="0" fontId="31" fillId="0" borderId="0" xfId="0" applyFont="1" applyFill="1" applyBorder="1" applyAlignment="1" applyProtection="1">
      <alignment horizontal="center" vertical="top" wrapText="1"/>
      <protection locked="0"/>
    </xf>
    <xf numFmtId="2" fontId="18" fillId="44" borderId="29" xfId="0" applyNumberFormat="1" applyFont="1" applyFill="1" applyBorder="1" applyAlignment="1">
      <alignment horizontal="center" vertical="center"/>
    </xf>
    <xf numFmtId="0" fontId="14" fillId="0" borderId="0" xfId="0" applyFont="1" applyFill="1" applyBorder="1" applyAlignment="1">
      <alignment wrapText="1"/>
    </xf>
    <xf numFmtId="0" fontId="0" fillId="0" borderId="0" xfId="0" applyAlignment="1">
      <alignment wrapText="1"/>
    </xf>
    <xf numFmtId="0" fontId="33" fillId="0" borderId="0" xfId="0" applyFont="1"/>
    <xf numFmtId="0" fontId="25" fillId="0" borderId="0" xfId="0" applyFont="1"/>
    <xf numFmtId="0" fontId="34" fillId="0" borderId="0" xfId="0" applyFont="1"/>
    <xf numFmtId="165" fontId="1" fillId="34" borderId="19" xfId="0" applyNumberFormat="1" applyFont="1" applyFill="1" applyBorder="1" applyAlignment="1">
      <alignment horizontal="right" vertical="center" wrapText="1" readingOrder="1"/>
    </xf>
    <xf numFmtId="165" fontId="1" fillId="34" borderId="13" xfId="0" applyNumberFormat="1" applyFont="1" applyFill="1" applyBorder="1" applyAlignment="1">
      <alignment horizontal="right" vertical="center" wrapText="1" readingOrder="1"/>
    </xf>
    <xf numFmtId="167" fontId="1" fillId="34" borderId="20" xfId="0" applyNumberFormat="1" applyFont="1" applyFill="1" applyBorder="1" applyAlignment="1">
      <alignment horizontal="right" vertical="center" wrapText="1" readingOrder="1"/>
    </xf>
    <xf numFmtId="167" fontId="1" fillId="34" borderId="21" xfId="0" applyNumberFormat="1" applyFont="1" applyFill="1" applyBorder="1" applyAlignment="1">
      <alignment horizontal="right" vertical="center" wrapText="1" readingOrder="1"/>
    </xf>
    <xf numFmtId="167" fontId="1" fillId="34" borderId="15" xfId="0" applyNumberFormat="1" applyFont="1" applyFill="1" applyBorder="1" applyAlignment="1">
      <alignment horizontal="right" vertical="center" wrapText="1" readingOrder="1"/>
    </xf>
    <xf numFmtId="0" fontId="1" fillId="34" borderId="10" xfId="0" applyFont="1" applyFill="1" applyBorder="1" applyAlignment="1">
      <alignment horizontal="center" vertical="center" wrapText="1" readingOrder="1"/>
    </xf>
    <xf numFmtId="0" fontId="1" fillId="34" borderId="10" xfId="0" applyFont="1" applyFill="1" applyBorder="1" applyAlignment="1">
      <alignment horizontal="left" vertical="top" wrapText="1" readingOrder="1"/>
    </xf>
    <xf numFmtId="0" fontId="1" fillId="34" borderId="10" xfId="0" applyFont="1" applyFill="1" applyBorder="1" applyAlignment="1">
      <alignment horizontal="left" vertical="center" wrapText="1" readingOrder="1"/>
    </xf>
    <xf numFmtId="0" fontId="1" fillId="34" borderId="10" xfId="0" applyNumberFormat="1" applyFont="1" applyFill="1" applyBorder="1" applyAlignment="1">
      <alignment horizontal="center" vertical="center" wrapText="1" readingOrder="1"/>
    </xf>
    <xf numFmtId="0" fontId="1" fillId="34" borderId="14" xfId="0" applyNumberFormat="1" applyFont="1" applyFill="1" applyBorder="1" applyAlignment="1">
      <alignment horizontal="center" vertical="center" wrapText="1" readingOrder="1"/>
    </xf>
    <xf numFmtId="166" fontId="1" fillId="37" borderId="10" xfId="0" applyNumberFormat="1" applyFont="1" applyFill="1" applyBorder="1" applyAlignment="1">
      <alignment horizontal="center" vertical="center" wrapText="1" readingOrder="1"/>
    </xf>
    <xf numFmtId="166" fontId="1" fillId="38" borderId="10" xfId="0" applyNumberFormat="1" applyFont="1" applyFill="1" applyBorder="1" applyAlignment="1">
      <alignment horizontal="center" vertical="center" wrapText="1" readingOrder="1"/>
    </xf>
    <xf numFmtId="166" fontId="1" fillId="39" borderId="10" xfId="0" applyNumberFormat="1" applyFont="1" applyFill="1" applyBorder="1" applyAlignment="1">
      <alignment horizontal="center" vertical="center" wrapText="1" readingOrder="1"/>
    </xf>
    <xf numFmtId="9" fontId="1" fillId="44" borderId="16" xfId="43" applyFont="1" applyFill="1" applyBorder="1" applyAlignment="1">
      <alignment horizontal="center" vertical="center" wrapText="1" readingOrder="1"/>
    </xf>
    <xf numFmtId="9" fontId="1" fillId="44" borderId="17" xfId="43" applyNumberFormat="1" applyFont="1" applyFill="1" applyBorder="1" applyAlignment="1">
      <alignment horizontal="center" vertical="center" wrapText="1" readingOrder="1"/>
    </xf>
    <xf numFmtId="0" fontId="1" fillId="34" borderId="18" xfId="0" applyFont="1" applyFill="1" applyBorder="1" applyAlignment="1">
      <alignment horizontal="center" vertical="center" wrapText="1" readingOrder="1"/>
    </xf>
    <xf numFmtId="0" fontId="1" fillId="34" borderId="18" xfId="0" applyFont="1" applyFill="1" applyBorder="1" applyAlignment="1">
      <alignment horizontal="left" vertical="top" wrapText="1" readingOrder="1"/>
    </xf>
    <xf numFmtId="0" fontId="1" fillId="34" borderId="18" xfId="0" applyFont="1" applyFill="1" applyBorder="1" applyAlignment="1">
      <alignment horizontal="left" vertical="center" wrapText="1" readingOrder="1"/>
    </xf>
    <xf numFmtId="0" fontId="1" fillId="34" borderId="18" xfId="0" applyNumberFormat="1" applyFont="1" applyFill="1" applyBorder="1" applyAlignment="1">
      <alignment horizontal="center" vertical="center" wrapText="1" readingOrder="1"/>
    </xf>
    <xf numFmtId="0" fontId="1" fillId="34" borderId="19" xfId="0" applyNumberFormat="1" applyFont="1" applyFill="1" applyBorder="1" applyAlignment="1">
      <alignment horizontal="center" vertical="center" wrapText="1" readingOrder="1"/>
    </xf>
    <xf numFmtId="166" fontId="1" fillId="37" borderId="18" xfId="0" applyNumberFormat="1" applyFont="1" applyFill="1" applyBorder="1" applyAlignment="1">
      <alignment horizontal="center" vertical="center" wrapText="1" readingOrder="1"/>
    </xf>
    <xf numFmtId="166" fontId="1" fillId="38" borderId="18" xfId="0" applyNumberFormat="1" applyFont="1" applyFill="1" applyBorder="1" applyAlignment="1">
      <alignment horizontal="center" vertical="center" wrapText="1" readingOrder="1"/>
    </xf>
    <xf numFmtId="166" fontId="1" fillId="39" borderId="18" xfId="0" applyNumberFormat="1" applyFont="1" applyFill="1" applyBorder="1" applyAlignment="1">
      <alignment horizontal="center" vertical="center" wrapText="1" readingOrder="1"/>
    </xf>
    <xf numFmtId="9" fontId="1" fillId="44" borderId="21" xfId="43" applyFont="1" applyFill="1" applyBorder="1" applyAlignment="1">
      <alignment horizontal="center" vertical="center" wrapText="1" readingOrder="1"/>
    </xf>
    <xf numFmtId="9" fontId="1" fillId="44" borderId="25" xfId="43" applyNumberFormat="1" applyFont="1" applyFill="1" applyBorder="1" applyAlignment="1">
      <alignment horizontal="center" vertical="center" wrapText="1" readingOrder="1"/>
    </xf>
    <xf numFmtId="0" fontId="22" fillId="0" borderId="0" xfId="0" pivotButton="1" applyFont="1"/>
    <xf numFmtId="0" fontId="22" fillId="34" borderId="25" xfId="0" applyFont="1" applyFill="1" applyBorder="1" applyAlignment="1">
      <alignment horizontal="left" vertical="center" wrapText="1" readingOrder="1"/>
    </xf>
    <xf numFmtId="165" fontId="22" fillId="34" borderId="13" xfId="0" applyNumberFormat="1" applyFont="1" applyFill="1" applyBorder="1" applyAlignment="1">
      <alignment horizontal="center" vertical="center" wrapText="1" readingOrder="1"/>
    </xf>
    <xf numFmtId="167" fontId="22" fillId="34" borderId="0" xfId="0" applyNumberFormat="1" applyFont="1" applyFill="1" applyBorder="1" applyAlignment="1">
      <alignment horizontal="center" vertical="center" wrapText="1" readingOrder="1"/>
    </xf>
    <xf numFmtId="167" fontId="22" fillId="34" borderId="15" xfId="0" applyNumberFormat="1" applyFont="1" applyFill="1" applyBorder="1" applyAlignment="1">
      <alignment horizontal="center" vertical="center" wrapText="1" readingOrder="1"/>
    </xf>
    <xf numFmtId="0" fontId="22" fillId="34" borderId="17" xfId="0" applyFont="1" applyFill="1" applyBorder="1" applyAlignment="1">
      <alignment horizontal="left" vertical="center" wrapText="1" readingOrder="1"/>
    </xf>
    <xf numFmtId="165" fontId="22" fillId="34" borderId="22" xfId="0" applyNumberFormat="1" applyFont="1" applyFill="1" applyBorder="1" applyAlignment="1">
      <alignment horizontal="center" vertical="center" wrapText="1" readingOrder="1"/>
    </xf>
    <xf numFmtId="167" fontId="22" fillId="34" borderId="26" xfId="0" applyNumberFormat="1" applyFont="1" applyFill="1" applyBorder="1" applyAlignment="1">
      <alignment horizontal="center" vertical="center" wrapText="1" readingOrder="1"/>
    </xf>
    <xf numFmtId="167" fontId="22" fillId="34" borderId="23" xfId="0" applyNumberFormat="1" applyFont="1" applyFill="1" applyBorder="1" applyAlignment="1">
      <alignment horizontal="center" vertical="center" wrapText="1" readingOrder="1"/>
    </xf>
    <xf numFmtId="0" fontId="15" fillId="0" borderId="0" xfId="0" applyFont="1"/>
    <xf numFmtId="166" fontId="26" fillId="41" borderId="23" xfId="0" applyNumberFormat="1" applyFont="1" applyFill="1" applyBorder="1" applyAlignment="1">
      <alignment horizontal="right" vertical="center" wrapText="1" readingOrder="1"/>
    </xf>
    <xf numFmtId="166" fontId="26" fillId="46" borderId="26" xfId="0" applyNumberFormat="1" applyFont="1" applyFill="1" applyBorder="1" applyAlignment="1">
      <alignment horizontal="right" vertical="center" wrapText="1" readingOrder="1"/>
    </xf>
    <xf numFmtId="166" fontId="26" fillId="41" borderId="26" xfId="0" applyNumberFormat="1" applyFont="1" applyFill="1" applyBorder="1" applyAlignment="1">
      <alignment horizontal="right" vertical="center" wrapText="1" readingOrder="1"/>
    </xf>
    <xf numFmtId="0" fontId="26" fillId="41" borderId="26" xfId="0" applyFont="1" applyFill="1" applyBorder="1" applyAlignment="1">
      <alignment vertical="center" wrapText="1" readingOrder="1"/>
    </xf>
    <xf numFmtId="10" fontId="26" fillId="41" borderId="22" xfId="0" applyNumberFormat="1" applyFont="1" applyFill="1" applyBorder="1" applyAlignment="1">
      <alignment vertical="center" wrapText="1" readingOrder="1"/>
    </xf>
    <xf numFmtId="0" fontId="26" fillId="41" borderId="10" xfId="0" applyFont="1" applyFill="1" applyBorder="1" applyAlignment="1">
      <alignment horizontal="left" vertical="center" wrapText="1" readingOrder="1"/>
    </xf>
    <xf numFmtId="167" fontId="1" fillId="34" borderId="23" xfId="0" applyNumberFormat="1" applyFont="1" applyFill="1" applyBorder="1" applyAlignment="1">
      <alignment horizontal="right" vertical="center" wrapText="1" readingOrder="1"/>
    </xf>
    <xf numFmtId="167" fontId="1" fillId="34" borderId="26" xfId="0" applyNumberFormat="1" applyFont="1" applyFill="1" applyBorder="1" applyAlignment="1">
      <alignment horizontal="right" vertical="center" wrapText="1" readingOrder="1"/>
    </xf>
    <xf numFmtId="0" fontId="1" fillId="34" borderId="26" xfId="0" applyFont="1" applyFill="1" applyBorder="1" applyAlignment="1">
      <alignment wrapText="1"/>
    </xf>
    <xf numFmtId="165" fontId="1" fillId="34" borderId="22" xfId="0" applyNumberFormat="1" applyFont="1" applyFill="1" applyBorder="1" applyAlignment="1">
      <alignment horizontal="right" vertical="center" wrapText="1" readingOrder="1"/>
    </xf>
    <xf numFmtId="0" fontId="1" fillId="34" borderId="22" xfId="0" applyFont="1" applyFill="1" applyBorder="1" applyAlignment="1">
      <alignment horizontal="left" wrapText="1"/>
    </xf>
    <xf numFmtId="167" fontId="1" fillId="34" borderId="0" xfId="0" applyNumberFormat="1" applyFont="1" applyFill="1" applyAlignment="1">
      <alignment horizontal="right" vertical="center" wrapText="1" readingOrder="1"/>
    </xf>
    <xf numFmtId="0" fontId="1" fillId="34" borderId="0" xfId="0" applyFont="1" applyFill="1" applyAlignment="1">
      <alignment wrapText="1"/>
    </xf>
    <xf numFmtId="0" fontId="1" fillId="34" borderId="13" xfId="0" applyFont="1" applyFill="1" applyBorder="1" applyAlignment="1">
      <alignment horizontal="left" wrapText="1"/>
    </xf>
    <xf numFmtId="0" fontId="26" fillId="41" borderId="17" xfId="0" applyFont="1" applyFill="1" applyBorder="1" applyAlignment="1">
      <alignment horizontal="left" vertical="center" wrapText="1" readingOrder="1"/>
    </xf>
    <xf numFmtId="167" fontId="26" fillId="41" borderId="26" xfId="0" applyNumberFormat="1" applyFont="1" applyFill="1" applyBorder="1" applyAlignment="1">
      <alignment horizontal="right" vertical="center" wrapText="1" readingOrder="1"/>
    </xf>
    <xf numFmtId="0" fontId="1" fillId="34" borderId="19" xfId="0" applyFont="1" applyFill="1" applyBorder="1" applyAlignment="1">
      <alignment horizontal="left" wrapText="1"/>
    </xf>
    <xf numFmtId="0" fontId="1" fillId="34" borderId="20" xfId="0" applyFont="1" applyFill="1" applyBorder="1" applyAlignment="1">
      <alignment wrapText="1"/>
    </xf>
    <xf numFmtId="0" fontId="23" fillId="41" borderId="21" xfId="0" applyFont="1" applyFill="1" applyBorder="1" applyAlignment="1">
      <alignment horizontal="center" vertical="center" wrapText="1" readingOrder="1"/>
    </xf>
    <xf numFmtId="0" fontId="23" fillId="41" borderId="20" xfId="0" applyFont="1" applyFill="1" applyBorder="1" applyAlignment="1">
      <alignment horizontal="center" vertical="center" wrapText="1" readingOrder="1"/>
    </xf>
    <xf numFmtId="0" fontId="23" fillId="41" borderId="19" xfId="0" applyFont="1" applyFill="1" applyBorder="1" applyAlignment="1">
      <alignment horizontal="center" vertical="center" wrapText="1" readingOrder="1"/>
    </xf>
    <xf numFmtId="0" fontId="23" fillId="41" borderId="18" xfId="0" applyFont="1" applyFill="1" applyBorder="1" applyAlignment="1">
      <alignment horizontal="center" vertical="center" wrapText="1" readingOrder="1"/>
    </xf>
    <xf numFmtId="0" fontId="22" fillId="0" borderId="0" xfId="0" applyFont="1" applyAlignment="1">
      <alignment horizontal="center"/>
    </xf>
    <xf numFmtId="0" fontId="14" fillId="41" borderId="10" xfId="0" applyFont="1" applyFill="1" applyBorder="1" applyAlignment="1">
      <alignment horizontal="center" vertical="center"/>
    </xf>
    <xf numFmtId="0" fontId="25" fillId="42" borderId="10" xfId="0" applyFont="1" applyFill="1" applyBorder="1" applyAlignment="1">
      <alignment horizontal="center" vertical="center" wrapText="1"/>
    </xf>
    <xf numFmtId="0" fontId="25" fillId="45" borderId="10" xfId="36" applyFont="1" applyFill="1" applyBorder="1" applyAlignment="1">
      <alignment horizontal="center" vertical="center"/>
    </xf>
    <xf numFmtId="0" fontId="14" fillId="41" borderId="28" xfId="0" applyFont="1" applyFill="1" applyBorder="1" applyAlignment="1">
      <alignment horizontal="center" vertical="center"/>
    </xf>
    <xf numFmtId="0" fontId="25" fillId="45" borderId="38" xfId="36" applyFont="1" applyFill="1" applyBorder="1" applyAlignment="1">
      <alignment horizontal="center" vertical="center"/>
    </xf>
    <xf numFmtId="0" fontId="14" fillId="41" borderId="10" xfId="0" applyFont="1" applyFill="1" applyBorder="1" applyAlignment="1">
      <alignment horizontal="center" vertical="center" wrapText="1"/>
    </xf>
    <xf numFmtId="0" fontId="0" fillId="0" borderId="26" xfId="0" applyBorder="1" applyAlignment="1">
      <alignment wrapText="1"/>
    </xf>
    <xf numFmtId="0" fontId="0" fillId="35" borderId="0" xfId="0" applyFill="1" applyAlignment="1"/>
    <xf numFmtId="0" fontId="0" fillId="35" borderId="0" xfId="0" applyFill="1" applyAlignment="1">
      <alignment horizontal="center" wrapText="1"/>
    </xf>
    <xf numFmtId="0" fontId="0" fillId="35" borderId="0" xfId="0" applyFill="1" applyAlignment="1">
      <alignment wrapText="1"/>
    </xf>
    <xf numFmtId="0" fontId="14" fillId="43" borderId="10" xfId="0" applyFont="1" applyFill="1" applyBorder="1" applyAlignment="1">
      <alignment horizontal="center" vertical="center" wrapText="1"/>
    </xf>
    <xf numFmtId="0" fontId="14" fillId="43" borderId="10" xfId="0" applyFont="1" applyFill="1" applyBorder="1" applyAlignment="1">
      <alignment horizontal="center" vertical="center"/>
    </xf>
    <xf numFmtId="2" fontId="14" fillId="37" borderId="10" xfId="0" applyNumberFormat="1" applyFont="1" applyFill="1" applyBorder="1" applyAlignment="1">
      <alignment horizontal="center" vertical="center"/>
    </xf>
    <xf numFmtId="2" fontId="14" fillId="38" borderId="10" xfId="0" applyNumberFormat="1" applyFont="1" applyFill="1" applyBorder="1" applyAlignment="1">
      <alignment horizontal="center" vertical="center"/>
    </xf>
    <xf numFmtId="2" fontId="14" fillId="39" borderId="10" xfId="0" applyNumberFormat="1" applyFont="1" applyFill="1" applyBorder="1" applyAlignment="1">
      <alignment horizontal="center" vertical="center"/>
    </xf>
    <xf numFmtId="0" fontId="18" fillId="44" borderId="10" xfId="0" applyFont="1" applyFill="1" applyBorder="1" applyAlignment="1">
      <alignment horizontal="center" vertical="center"/>
    </xf>
    <xf numFmtId="0" fontId="14" fillId="47" borderId="37" xfId="0" applyFont="1" applyFill="1" applyBorder="1" applyAlignment="1">
      <alignment horizontal="center" vertical="center"/>
    </xf>
    <xf numFmtId="0" fontId="25" fillId="0" borderId="28" xfId="0" applyFont="1" applyBorder="1" applyAlignment="1">
      <alignment horizontal="left" vertical="center" wrapText="1"/>
    </xf>
    <xf numFmtId="2" fontId="14" fillId="37" borderId="10" xfId="0" applyNumberFormat="1" applyFont="1" applyFill="1" applyBorder="1" applyAlignment="1">
      <alignment horizontal="center"/>
    </xf>
    <xf numFmtId="2" fontId="14" fillId="38" borderId="10" xfId="0" applyNumberFormat="1" applyFont="1" applyFill="1" applyBorder="1" applyAlignment="1">
      <alignment horizontal="center"/>
    </xf>
    <xf numFmtId="2" fontId="14" fillId="39" borderId="10" xfId="0" applyNumberFormat="1" applyFont="1" applyFill="1" applyBorder="1" applyAlignment="1">
      <alignment horizontal="center"/>
    </xf>
    <xf numFmtId="0" fontId="14" fillId="47" borderId="38" xfId="0" applyFont="1" applyFill="1" applyBorder="1" applyAlignment="1">
      <alignment horizontal="center" vertical="center" wrapText="1"/>
    </xf>
    <xf numFmtId="0" fontId="14" fillId="43" borderId="38" xfId="0" applyFont="1" applyFill="1" applyBorder="1" applyAlignment="1">
      <alignment horizontal="center" wrapText="1"/>
    </xf>
    <xf numFmtId="0" fontId="14" fillId="43" borderId="39" xfId="0" applyFont="1" applyFill="1" applyBorder="1" applyAlignment="1">
      <alignment horizontal="center"/>
    </xf>
    <xf numFmtId="2" fontId="14" fillId="37" borderId="40" xfId="0" applyNumberFormat="1" applyFont="1" applyFill="1" applyBorder="1" applyAlignment="1">
      <alignment horizontal="center"/>
    </xf>
    <xf numFmtId="2" fontId="14" fillId="38" borderId="40" xfId="0" applyNumberFormat="1" applyFont="1" applyFill="1" applyBorder="1" applyAlignment="1">
      <alignment horizontal="center"/>
    </xf>
    <xf numFmtId="2" fontId="14" fillId="39" borderId="40" xfId="0" applyNumberFormat="1" applyFont="1" applyFill="1" applyBorder="1" applyAlignment="1">
      <alignment horizontal="center"/>
    </xf>
    <xf numFmtId="2" fontId="18" fillId="44" borderId="40" xfId="0" applyNumberFormat="1" applyFont="1" applyFill="1" applyBorder="1" applyAlignment="1">
      <alignment horizontal="center"/>
    </xf>
    <xf numFmtId="2" fontId="18" fillId="44" borderId="28" xfId="0" applyNumberFormat="1" applyFont="1" applyFill="1" applyBorder="1" applyAlignment="1">
      <alignment horizontal="center" vertical="center"/>
    </xf>
    <xf numFmtId="0" fontId="26" fillId="47" borderId="30" xfId="0" applyFont="1" applyFill="1" applyBorder="1" applyAlignment="1">
      <alignment horizontal="center"/>
    </xf>
    <xf numFmtId="0" fontId="26" fillId="47" borderId="31" xfId="0" applyFont="1" applyFill="1" applyBorder="1" applyAlignment="1">
      <alignment horizontal="center"/>
    </xf>
    <xf numFmtId="0" fontId="26" fillId="47" borderId="32" xfId="0" applyFont="1" applyFill="1" applyBorder="1" applyAlignment="1">
      <alignment horizontal="center"/>
    </xf>
    <xf numFmtId="0" fontId="26" fillId="43" borderId="41" xfId="0" applyFont="1" applyFill="1" applyBorder="1" applyAlignment="1">
      <alignment horizontal="center" vertical="center"/>
    </xf>
    <xf numFmtId="0" fontId="26" fillId="43" borderId="43" xfId="0" applyFont="1" applyFill="1" applyBorder="1" applyAlignment="1">
      <alignment horizontal="center" vertical="center"/>
    </xf>
    <xf numFmtId="0" fontId="26" fillId="43" borderId="42" xfId="0" applyFont="1" applyFill="1" applyBorder="1" applyAlignment="1">
      <alignment horizontal="center" vertical="center"/>
    </xf>
    <xf numFmtId="0" fontId="14" fillId="43" borderId="10" xfId="0" applyFont="1" applyFill="1" applyBorder="1" applyAlignment="1">
      <alignment horizontal="center" vertical="center"/>
    </xf>
    <xf numFmtId="0" fontId="14" fillId="37" borderId="44" xfId="0" applyFont="1" applyFill="1" applyBorder="1" applyAlignment="1">
      <alignment horizontal="center" vertical="center"/>
    </xf>
    <xf numFmtId="0" fontId="14" fillId="38" borderId="44" xfId="0" applyFont="1" applyFill="1" applyBorder="1" applyAlignment="1">
      <alignment horizontal="center" vertical="center"/>
    </xf>
    <xf numFmtId="0" fontId="14" fillId="39" borderId="44" xfId="0" applyFont="1" applyFill="1" applyBorder="1" applyAlignment="1">
      <alignment horizontal="center" vertical="center"/>
    </xf>
    <xf numFmtId="0" fontId="0" fillId="0" borderId="44" xfId="0" applyBorder="1" applyAlignment="1">
      <alignment horizontal="center" vertical="center"/>
    </xf>
    <xf numFmtId="0" fontId="0" fillId="0" borderId="27" xfId="0" applyBorder="1" applyAlignment="1">
      <alignment horizontal="center" vertical="center"/>
    </xf>
    <xf numFmtId="0" fontId="30" fillId="40" borderId="0" xfId="0" applyFont="1" applyFill="1" applyAlignment="1" applyProtection="1">
      <alignment horizontal="center" vertical="top" wrapText="1"/>
      <protection locked="0"/>
    </xf>
    <xf numFmtId="0" fontId="14" fillId="43" borderId="14" xfId="0" applyFont="1" applyFill="1" applyBorder="1" applyAlignment="1">
      <alignment horizontal="center" vertical="center" wrapText="1"/>
    </xf>
    <xf numFmtId="0" fontId="14" fillId="43" borderId="24" xfId="0" applyFont="1" applyFill="1" applyBorder="1" applyAlignment="1">
      <alignment horizontal="center" vertical="center" wrapText="1"/>
    </xf>
    <xf numFmtId="0" fontId="14" fillId="43" borderId="16" xfId="0" applyFont="1" applyFill="1" applyBorder="1" applyAlignment="1">
      <alignment horizontal="center" vertical="center" wrapText="1"/>
    </xf>
    <xf numFmtId="0" fontId="0" fillId="35" borderId="20" xfId="0" applyFill="1" applyBorder="1" applyAlignment="1">
      <alignment horizontal="center"/>
    </xf>
    <xf numFmtId="0" fontId="14" fillId="43" borderId="10" xfId="0" applyFont="1" applyFill="1" applyBorder="1" applyAlignment="1">
      <alignment horizontal="center" vertical="center" wrapText="1"/>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2" xr:uid="{00000000-0005-0000-0000-00001B000000}"/>
    <cellStyle name="Comma 3" xfId="45" xr:uid="{49E9B759-8CF0-4911-984A-B667AD1DB256}"/>
    <cellStyle name="Comma 3 2" xfId="46" xr:uid="{00852A3E-65F6-4597-B8FE-E0F2F130C2F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F564E553-9AD2-4344-92DF-2360C8C7196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38">
    <dxf>
      <font>
        <b val="0"/>
        <i val="0"/>
        <strike val="0"/>
        <condense val="0"/>
        <extend val="0"/>
        <outline val="0"/>
        <shadow val="0"/>
        <u val="none"/>
        <vertAlign val="baseline"/>
        <sz val="12"/>
        <color theme="0"/>
        <name val="Calibri"/>
        <family val="2"/>
        <scheme val="minor"/>
      </font>
      <fill>
        <patternFill patternType="solid">
          <fgColor indexed="64"/>
          <bgColor theme="5" tint="-0.249977111117893"/>
        </patternFill>
      </fill>
      <border diagonalUp="0" diagonalDown="0" outline="0">
        <left/>
        <right style="medium">
          <color theme="0"/>
        </right>
        <top style="medium">
          <color theme="0"/>
        </top>
        <bottom style="medium">
          <color theme="0"/>
        </bottom>
      </border>
    </dxf>
    <dxf>
      <font>
        <b val="0"/>
        <i val="0"/>
        <strike val="0"/>
        <condense val="0"/>
        <extend val="0"/>
        <outline val="0"/>
        <shadow val="0"/>
        <u val="none"/>
        <vertAlign val="baseline"/>
        <sz val="12"/>
        <color theme="0"/>
        <name val="Calibri"/>
        <family val="2"/>
        <scheme val="minor"/>
      </font>
      <numFmt numFmtId="13" formatCode="0%"/>
      <fill>
        <patternFill patternType="solid">
          <fgColor indexed="64"/>
          <bgColor theme="5" tint="-0.249977111117893"/>
        </patternFill>
      </fill>
      <alignment horizontal="center" vertical="center" textRotation="0" wrapText="1" indent="0" justifyLastLine="0" shrinkToFit="0" readingOrder="1"/>
      <border diagonalUp="0" diagonalDown="0" outline="0">
        <left/>
        <right style="thin">
          <color theme="0" tint="-0.34998626667073579"/>
        </right>
        <top style="medium">
          <color theme="0"/>
        </top>
        <bottom style="medium">
          <color theme="0"/>
        </bottom>
      </border>
    </dxf>
    <dxf>
      <font>
        <b val="0"/>
        <i val="0"/>
        <strike val="0"/>
        <condense val="0"/>
        <extend val="0"/>
        <outline val="0"/>
        <shadow val="0"/>
        <u val="none"/>
        <vertAlign val="baseline"/>
        <sz val="12"/>
        <color theme="0"/>
        <name val="Calibri"/>
        <family val="2"/>
        <scheme val="minor"/>
      </font>
      <fill>
        <patternFill patternType="solid">
          <fgColor indexed="64"/>
          <bgColor theme="5" tint="-0.249977111117893"/>
        </patternFill>
      </fill>
      <alignment horizontal="center" vertical="center" textRotation="0" wrapText="1" indent="0" justifyLastLine="0" shrinkToFit="0" readingOrder="1"/>
      <border diagonalUp="0" diagonalDown="0" outline="0">
        <left style="thin">
          <color theme="0" tint="-0.34998626667073579"/>
        </left>
        <right/>
        <top style="medium">
          <color theme="0"/>
        </top>
        <bottom style="medium">
          <color theme="0"/>
        </bottom>
      </border>
    </dxf>
    <dxf>
      <font>
        <b val="0"/>
        <i val="0"/>
        <strike val="0"/>
        <condense val="0"/>
        <extend val="0"/>
        <outline val="0"/>
        <shadow val="0"/>
        <u val="none"/>
        <vertAlign val="baseline"/>
        <sz val="12"/>
        <color theme="0"/>
        <name val="Calibri"/>
        <family val="2"/>
        <scheme val="minor"/>
      </font>
      <fill>
        <patternFill patternType="solid">
          <fgColor indexed="64"/>
          <bgColor theme="5" tint="-0.249977111117893"/>
        </patternFill>
      </fill>
      <alignment horizontal="center" vertical="center" textRotation="0" wrapText="1" indent="0" justifyLastLine="0" shrinkToFit="0" readingOrder="1"/>
      <border diagonalUp="0" diagonalDown="0" outline="0">
        <left style="thin">
          <color theme="0" tint="-0.34998626667073579"/>
        </left>
        <right/>
        <top style="medium">
          <color theme="0"/>
        </top>
        <bottom style="medium">
          <color theme="0"/>
        </bottom>
      </border>
    </dxf>
    <dxf>
      <font>
        <b val="0"/>
        <i val="0"/>
        <strike val="0"/>
        <condense val="0"/>
        <extend val="0"/>
        <outline val="0"/>
        <shadow val="0"/>
        <u val="none"/>
        <vertAlign val="baseline"/>
        <sz val="12"/>
        <color theme="0"/>
        <name val="Calibri"/>
        <family val="2"/>
        <scheme val="minor"/>
      </font>
      <fill>
        <patternFill patternType="solid">
          <fgColor indexed="64"/>
          <bgColor theme="5" tint="-0.249977111117893"/>
        </patternFill>
      </fill>
      <alignment horizontal="center" vertical="center" textRotation="0" wrapText="1" indent="0" justifyLastLine="0" shrinkToFit="0" readingOrder="1"/>
      <border diagonalUp="0" diagonalDown="0" outline="0">
        <left style="thin">
          <color theme="0" tint="-0.34998626667073579"/>
        </left>
        <right/>
        <top style="medium">
          <color theme="0"/>
        </top>
        <bottom style="medium">
          <color theme="0"/>
        </bottom>
      </border>
    </dxf>
    <dxf>
      <font>
        <b val="0"/>
        <i val="0"/>
        <strike val="0"/>
        <condense val="0"/>
        <extend val="0"/>
        <outline val="0"/>
        <shadow val="0"/>
        <u val="none"/>
        <vertAlign val="baseline"/>
        <sz val="12"/>
        <color theme="0"/>
        <name val="Calibri"/>
        <family val="2"/>
        <scheme val="minor"/>
      </font>
      <fill>
        <patternFill patternType="solid">
          <fgColor indexed="64"/>
          <bgColor theme="5" tint="-0.249977111117893"/>
        </patternFill>
      </fill>
      <alignment horizontal="left" vertical="center" textRotation="0" wrapText="1" indent="0" justifyLastLine="0" shrinkToFit="0" readingOrder="1"/>
      <border diagonalUp="0" diagonalDown="0" outline="0">
        <left style="thin">
          <color theme="0" tint="-0.34998626667073579"/>
        </left>
        <right/>
        <top style="medium">
          <color theme="0"/>
        </top>
        <bottom style="medium">
          <color theme="0"/>
        </bottom>
      </border>
    </dxf>
    <dxf>
      <font>
        <b val="0"/>
        <i val="0"/>
        <strike val="0"/>
        <condense val="0"/>
        <extend val="0"/>
        <outline val="0"/>
        <shadow val="0"/>
        <u val="none"/>
        <vertAlign val="baseline"/>
        <sz val="12"/>
        <color theme="0"/>
        <name val="Calibri"/>
        <family val="2"/>
        <scheme val="minor"/>
      </font>
      <fill>
        <patternFill patternType="solid">
          <fgColor indexed="64"/>
          <bgColor theme="5" tint="-0.249977111117893"/>
        </patternFill>
      </fill>
      <alignment horizontal="left" vertical="center" textRotation="0" wrapText="1" indent="0" justifyLastLine="0" shrinkToFit="0" readingOrder="1"/>
      <border diagonalUp="0" diagonalDown="0" outline="0">
        <left style="thin">
          <color theme="0" tint="-0.34998626667073579"/>
        </left>
        <right style="thin">
          <color theme="0" tint="-0.34998626667073579"/>
        </right>
        <top style="medium">
          <color theme="0"/>
        </top>
        <bottom style="medium">
          <color theme="0"/>
        </bottom>
      </border>
    </dxf>
    <dxf>
      <font>
        <b val="0"/>
        <i val="0"/>
        <strike val="0"/>
        <condense val="0"/>
        <extend val="0"/>
        <outline val="0"/>
        <shadow val="0"/>
        <u val="none"/>
        <vertAlign val="baseline"/>
        <sz val="12"/>
        <color theme="0"/>
        <name val="Calibri"/>
        <family val="2"/>
        <scheme val="minor"/>
      </font>
      <fill>
        <patternFill patternType="solid">
          <fgColor indexed="64"/>
          <bgColor theme="5" tint="-0.249977111117893"/>
        </patternFill>
      </fill>
      <alignment horizontal="center" vertical="center" textRotation="0" wrapText="1" indent="0" justifyLastLine="0" shrinkToFit="0" readingOrder="1"/>
      <border diagonalUp="0" diagonalDown="0" outline="0">
        <left style="thin">
          <color theme="0" tint="-0.34998626667073579"/>
        </left>
        <right style="thin">
          <color theme="0" tint="-0.34998626667073579"/>
        </right>
        <top style="medium">
          <color theme="0"/>
        </top>
        <bottom style="medium">
          <color theme="0"/>
        </bottom>
      </border>
    </dxf>
    <dxf>
      <font>
        <b val="0"/>
        <i val="0"/>
        <strike val="0"/>
        <condense val="0"/>
        <extend val="0"/>
        <outline val="0"/>
        <shadow val="0"/>
        <u val="none"/>
        <vertAlign val="baseline"/>
        <sz val="12"/>
        <color theme="0"/>
        <name val="Calibri"/>
        <family val="2"/>
        <scheme val="minor"/>
      </font>
      <fill>
        <patternFill patternType="solid">
          <fgColor indexed="64"/>
          <bgColor theme="5" tint="-0.249977111117893"/>
        </patternFill>
      </fill>
      <alignment horizontal="center" vertical="center" textRotation="0" wrapText="1" indent="0" justifyLastLine="0" shrinkToFit="0" readingOrder="1"/>
      <border diagonalUp="0" diagonalDown="0" outline="0">
        <left style="thin">
          <color theme="0" tint="-0.34998626667073579"/>
        </left>
        <right style="thin">
          <color theme="0" tint="-0.34998626667073579"/>
        </right>
        <top style="medium">
          <color theme="0"/>
        </top>
        <bottom style="medium">
          <color theme="0"/>
        </bottom>
      </border>
    </dxf>
    <dxf>
      <font>
        <b val="0"/>
        <i val="0"/>
        <strike val="0"/>
        <condense val="0"/>
        <extend val="0"/>
        <outline val="0"/>
        <shadow val="0"/>
        <u val="none"/>
        <vertAlign val="baseline"/>
        <sz val="12"/>
        <color theme="0"/>
        <name val="Calibri"/>
        <family val="2"/>
        <scheme val="minor"/>
      </font>
      <fill>
        <patternFill patternType="solid">
          <fgColor indexed="64"/>
          <bgColor theme="5" tint="-0.249977111117893"/>
        </patternFill>
      </fill>
      <alignment horizontal="center" vertical="center" textRotation="0" wrapText="1" indent="0" justifyLastLine="0" shrinkToFit="0" readingOrder="1"/>
      <border diagonalUp="0" diagonalDown="0" outline="0">
        <left style="thin">
          <color theme="0" tint="-0.34998626667073579"/>
        </left>
        <right style="thin">
          <color theme="0" tint="-0.34998626667073579"/>
        </right>
        <top style="medium">
          <color theme="0"/>
        </top>
        <bottom style="medium">
          <color theme="0"/>
        </bottom>
      </border>
    </dxf>
    <dxf>
      <font>
        <b val="0"/>
        <i val="0"/>
        <strike val="0"/>
        <condense val="0"/>
        <extend val="0"/>
        <outline val="0"/>
        <shadow val="0"/>
        <u val="none"/>
        <vertAlign val="baseline"/>
        <sz val="12"/>
        <color theme="0"/>
        <name val="Calibri"/>
        <family val="2"/>
        <scheme val="minor"/>
      </font>
      <fill>
        <patternFill patternType="solid">
          <fgColor indexed="64"/>
          <bgColor theme="5" tint="-0.249977111117893"/>
        </patternFill>
      </fill>
      <alignment horizontal="left" vertical="center" textRotation="0" wrapText="1" indent="0" justifyLastLine="0" shrinkToFit="0" readingOrder="1"/>
      <border diagonalUp="0" diagonalDown="0" outline="0">
        <left style="thin">
          <color theme="0" tint="-0.34998626667073579"/>
        </left>
        <right style="thin">
          <color theme="0" tint="-0.34998626667073579"/>
        </right>
        <top style="medium">
          <color theme="0"/>
        </top>
        <bottom style="medium">
          <color theme="0"/>
        </bottom>
      </border>
    </dxf>
    <dxf>
      <font>
        <b val="0"/>
        <i val="0"/>
        <strike val="0"/>
        <condense val="0"/>
        <extend val="0"/>
        <outline val="0"/>
        <shadow val="0"/>
        <u val="none"/>
        <vertAlign val="baseline"/>
        <sz val="12"/>
        <color theme="0"/>
        <name val="Calibri"/>
        <family val="2"/>
        <scheme val="minor"/>
      </font>
      <fill>
        <patternFill patternType="solid">
          <fgColor indexed="64"/>
          <bgColor theme="5" tint="-0.249977111117893"/>
        </patternFill>
      </fill>
      <alignment horizontal="left" vertical="center" textRotation="0" wrapText="1" indent="0" justifyLastLine="0" shrinkToFit="0" readingOrder="1"/>
      <border diagonalUp="0" diagonalDown="0" outline="0">
        <left style="thin">
          <color theme="0" tint="-0.34998626667073579"/>
        </left>
        <right style="thin">
          <color theme="0" tint="-0.34998626667073579"/>
        </right>
        <top style="medium">
          <color theme="0"/>
        </top>
        <bottom style="medium">
          <color theme="0"/>
        </bottom>
      </border>
    </dxf>
    <dxf>
      <font>
        <b val="0"/>
        <i val="0"/>
        <strike val="0"/>
        <condense val="0"/>
        <extend val="0"/>
        <outline val="0"/>
        <shadow val="0"/>
        <u val="none"/>
        <vertAlign val="baseline"/>
        <sz val="12"/>
        <color theme="0"/>
        <name val="Calibri"/>
        <family val="2"/>
        <scheme val="minor"/>
      </font>
      <fill>
        <patternFill patternType="solid">
          <fgColor indexed="64"/>
          <bgColor theme="5" tint="-0.249977111117893"/>
        </patternFill>
      </fill>
      <alignment horizontal="center" vertical="center" textRotation="0" wrapText="1" indent="0" justifyLastLine="0" shrinkToFit="0" readingOrder="1"/>
      <border diagonalUp="0" diagonalDown="0" outline="0">
        <left style="thin">
          <color theme="0" tint="-0.34998626667073579"/>
        </left>
        <right style="thin">
          <color theme="0" tint="-0.34998626667073579"/>
        </right>
        <top style="medium">
          <color theme="0"/>
        </top>
        <bottom style="medium">
          <color theme="0"/>
        </bottom>
      </border>
    </dxf>
    <dxf>
      <font>
        <b val="0"/>
        <i val="0"/>
        <strike val="0"/>
        <condense val="0"/>
        <extend val="0"/>
        <outline val="0"/>
        <shadow val="0"/>
        <u val="none"/>
        <vertAlign val="baseline"/>
        <sz val="12"/>
        <color theme="0"/>
        <name val="Calibri"/>
        <family val="2"/>
        <scheme val="minor"/>
      </font>
      <fill>
        <patternFill patternType="solid">
          <fgColor indexed="64"/>
          <bgColor theme="5" tint="-0.249977111117893"/>
        </patternFill>
      </fill>
      <alignment horizontal="center" vertical="center" textRotation="0" wrapText="1" indent="0" justifyLastLine="0" shrinkToFit="0" readingOrder="1"/>
      <border diagonalUp="0" diagonalDown="0" outline="0">
        <left style="medium">
          <color theme="0"/>
        </left>
        <right style="thin">
          <color theme="0" tint="-0.34998626667073579"/>
        </right>
        <top style="medium">
          <color theme="0"/>
        </top>
        <bottom style="medium">
          <color theme="0"/>
        </bottom>
      </border>
    </dxf>
    <dxf>
      <font>
        <strike val="0"/>
        <outline val="0"/>
        <shadow val="0"/>
        <u val="none"/>
        <vertAlign val="baseline"/>
        <sz val="12"/>
        <name val="Calibri"/>
        <family val="2"/>
        <scheme val="minor"/>
      </font>
      <fill>
        <patternFill patternType="solid">
          <fgColor indexed="64"/>
          <bgColor theme="1" tint="0.34998626667073579"/>
        </patternFill>
      </fill>
      <border outline="0">
        <left style="thin">
          <color auto="1"/>
        </left>
      </border>
    </dxf>
    <dxf>
      <font>
        <strike val="0"/>
        <outline val="0"/>
        <shadow val="0"/>
        <u val="none"/>
        <vertAlign val="baseline"/>
        <sz val="12"/>
        <name val="Calibri"/>
        <family val="2"/>
        <scheme val="minor"/>
      </font>
      <fill>
        <patternFill patternType="solid">
          <fgColor indexed="64"/>
          <bgColor theme="1" tint="0.34998626667073579"/>
        </patternFill>
      </fill>
      <border outline="0">
        <left style="thin">
          <color indexed="64"/>
        </left>
      </border>
    </dxf>
    <dxf>
      <font>
        <strike val="0"/>
        <outline val="0"/>
        <shadow val="0"/>
        <u val="none"/>
        <vertAlign val="baseline"/>
        <sz val="12"/>
        <name val="Calibri"/>
        <family val="2"/>
        <scheme val="minor"/>
      </font>
      <numFmt numFmtId="166" formatCode="0.0"/>
      <fill>
        <patternFill patternType="solid">
          <fgColor indexed="64"/>
          <bgColor rgb="FFCA3B41"/>
        </patternFill>
      </fill>
      <alignment horizontal="center" vertical="center" textRotation="0" wrapText="1" indent="0" justifyLastLine="0" shrinkToFit="0" readingOrder="1"/>
      <border diagonalUp="0" diagonalDown="0" outline="0">
        <left style="thin">
          <color auto="1"/>
        </left>
        <right style="thin">
          <color auto="1"/>
        </right>
        <top style="thin">
          <color auto="1"/>
        </top>
        <bottom style="thin">
          <color auto="1"/>
        </bottom>
      </border>
    </dxf>
    <dxf>
      <font>
        <strike val="0"/>
        <outline val="0"/>
        <shadow val="0"/>
        <u val="none"/>
        <vertAlign val="baseline"/>
        <sz val="12"/>
        <name val="Calibri"/>
        <family val="2"/>
        <scheme val="minor"/>
      </font>
      <numFmt numFmtId="166" formatCode="0.0"/>
      <fill>
        <patternFill patternType="solid">
          <fgColor indexed="64"/>
          <bgColor rgb="FFF7BE66"/>
        </patternFill>
      </fill>
      <alignment horizontal="center" vertical="center" textRotation="0" wrapText="1" indent="0" justifyLastLine="0" shrinkToFit="0" readingOrder="1"/>
      <border diagonalUp="0" diagonalDown="0" outline="0">
        <left style="thin">
          <color auto="1"/>
        </left>
        <right style="thin">
          <color auto="1"/>
        </right>
        <top style="thin">
          <color auto="1"/>
        </top>
        <bottom style="thin">
          <color auto="1"/>
        </bottom>
      </border>
    </dxf>
    <dxf>
      <font>
        <strike val="0"/>
        <outline val="0"/>
        <shadow val="0"/>
        <u val="none"/>
        <vertAlign val="baseline"/>
        <sz val="12"/>
        <name val="Calibri"/>
        <family val="2"/>
        <scheme val="minor"/>
      </font>
      <numFmt numFmtId="166" formatCode="0.0"/>
      <fill>
        <patternFill patternType="solid">
          <fgColor indexed="64"/>
          <bgColor rgb="FF487B48"/>
        </patternFill>
      </fill>
      <alignment horizontal="center" vertical="center" textRotation="0" wrapText="1" indent="0" justifyLastLine="0" shrinkToFit="0" readingOrder="1"/>
      <border diagonalUp="0" diagonalDown="0" outline="0">
        <left style="thin">
          <color auto="1"/>
        </left>
        <right style="thin">
          <color auto="1"/>
        </right>
        <top style="thin">
          <color auto="1"/>
        </top>
        <bottom style="thin">
          <color auto="1"/>
        </bottom>
      </border>
    </dxf>
    <dxf>
      <font>
        <strike val="0"/>
        <outline val="0"/>
        <shadow val="0"/>
        <u val="none"/>
        <vertAlign val="baseline"/>
        <sz val="12"/>
        <name val="Calibri"/>
        <family val="2"/>
        <scheme val="minor"/>
      </font>
      <border outline="0">
        <right style="thin">
          <color indexed="64"/>
        </right>
      </border>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border>
        <top style="medium">
          <color theme="0"/>
        </top>
      </border>
    </dxf>
    <dxf>
      <font>
        <strike val="0"/>
        <outline val="0"/>
        <shadow val="0"/>
        <u val="none"/>
        <vertAlign val="baseline"/>
        <sz val="12"/>
        <color theme="0"/>
        <name val="Calibri"/>
        <family val="2"/>
        <scheme val="minor"/>
      </font>
      <fill>
        <patternFill patternType="solid">
          <fgColor indexed="64"/>
          <bgColor theme="5" tint="-0.249977111117893"/>
        </patternFill>
      </fill>
    </dxf>
    <dxf>
      <font>
        <strike val="0"/>
        <outline val="0"/>
        <shadow val="0"/>
        <u val="none"/>
        <vertAlign val="baseline"/>
        <sz val="12"/>
        <name val="Calibri"/>
        <family val="2"/>
        <scheme val="minor"/>
      </font>
    </dxf>
    <dxf>
      <font>
        <b/>
        <i val="0"/>
        <strike val="0"/>
        <condense val="0"/>
        <extend val="0"/>
        <outline val="0"/>
        <shadow val="0"/>
        <u val="none"/>
        <vertAlign val="baseline"/>
        <sz val="12"/>
        <color rgb="FFFFFFFF"/>
        <name val="Calibri"/>
        <family val="2"/>
        <scheme val="minor"/>
      </font>
      <fill>
        <patternFill patternType="solid">
          <fgColor indexed="64"/>
          <bgColor theme="1" tint="0.249977111117893"/>
        </patternFill>
      </fill>
      <alignment horizontal="center" vertical="top" textRotation="0" wrapText="1" indent="0" justifyLastLine="0" shrinkToFit="0" readingOrder="1"/>
    </dxf>
    <dxf>
      <fill>
        <patternFill>
          <bgColor rgb="FFFF0000"/>
        </patternFill>
      </fill>
    </dxf>
    <dxf>
      <font>
        <color theme="9" tint="-0.499984740745262"/>
      </font>
    </dxf>
    <dxf>
      <font>
        <color rgb="FFC00000"/>
      </font>
    </dxf>
    <dxf>
      <font>
        <color rgb="FFFF0000"/>
      </font>
    </dxf>
    <dxf>
      <font>
        <color theme="9" tint="-0.499984740745262"/>
      </font>
    </dxf>
    <dxf>
      <font>
        <color rgb="FFC00000"/>
      </font>
    </dxf>
  </dxfs>
  <tableStyles count="0" defaultTableStyle="TableStyleMedium2" defaultPivotStyle="PivotStyleLight16"/>
  <colors>
    <mruColors>
      <color rgb="FF487B48"/>
      <color rgb="FF963634"/>
      <color rgb="FFCA3B41"/>
      <color rgb="FFF7BE66"/>
      <color rgb="FF354549"/>
      <color rgb="FFEA6962"/>
      <color rgb="FFFFC7CE"/>
      <color rgb="FFC6EFCE"/>
      <color rgb="FFFFE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u="none" strike="noStrike" baseline="0">
                <a:effectLst/>
              </a:rPr>
              <a:t>Size</a:t>
            </a:r>
            <a:endParaRPr lang="en-GB"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32C2DB"/>
              </a:solidFill>
              <a:ln w="19050">
                <a:solidFill>
                  <a:schemeClr val="lt1"/>
                </a:solidFill>
              </a:ln>
              <a:effectLst/>
            </c:spPr>
            <c:extLst>
              <c:ext xmlns:c16="http://schemas.microsoft.com/office/drawing/2014/chart" uri="{C3380CC4-5D6E-409C-BE32-E72D297353CC}">
                <c16:uniqueId val="{00000001-5FDE-443D-8BA2-AACB93BD5FD4}"/>
              </c:ext>
            </c:extLst>
          </c:dPt>
          <c:dPt>
            <c:idx val="1"/>
            <c:bubble3D val="0"/>
            <c:spPr>
              <a:solidFill>
                <a:srgbClr val="9BBB59"/>
              </a:solidFill>
              <a:ln w="19050">
                <a:solidFill>
                  <a:schemeClr val="lt1"/>
                </a:solidFill>
              </a:ln>
              <a:effectLst/>
            </c:spPr>
            <c:extLst>
              <c:ext xmlns:c16="http://schemas.microsoft.com/office/drawing/2014/chart" uri="{C3380CC4-5D6E-409C-BE32-E72D297353CC}">
                <c16:uniqueId val="{00000003-5FDE-443D-8BA2-AACB93BD5FD4}"/>
              </c:ext>
            </c:extLst>
          </c:dPt>
          <c:dPt>
            <c:idx val="2"/>
            <c:bubble3D val="0"/>
            <c:spPr>
              <a:solidFill>
                <a:srgbClr val="9BBB59"/>
              </a:solidFill>
              <a:ln w="19050">
                <a:solidFill>
                  <a:schemeClr val="lt1"/>
                </a:solidFill>
              </a:ln>
              <a:effectLst/>
            </c:spPr>
            <c:extLst>
              <c:ext xmlns:c16="http://schemas.microsoft.com/office/drawing/2014/chart" uri="{C3380CC4-5D6E-409C-BE32-E72D297353CC}">
                <c16:uniqueId val="{00000005-5FDE-443D-8BA2-AACB93BD5FD4}"/>
              </c:ext>
            </c:extLst>
          </c:dPt>
          <c:dPt>
            <c:idx val="3"/>
            <c:bubble3D val="0"/>
            <c:spPr>
              <a:solidFill>
                <a:srgbClr val="F79646"/>
              </a:solidFill>
              <a:ln w="19050">
                <a:solidFill>
                  <a:schemeClr val="lt1"/>
                </a:solidFill>
              </a:ln>
              <a:effectLst/>
            </c:spPr>
            <c:extLst>
              <c:ext xmlns:c16="http://schemas.microsoft.com/office/drawing/2014/chart" uri="{C3380CC4-5D6E-409C-BE32-E72D297353CC}">
                <c16:uniqueId val="{00000007-5FDE-443D-8BA2-AACB93BD5FD4}"/>
              </c:ext>
            </c:extLst>
          </c:dPt>
          <c:dPt>
            <c:idx val="4"/>
            <c:bubble3D val="0"/>
            <c:spPr>
              <a:solidFill>
                <a:srgbClr val="CA3B41"/>
              </a:solidFill>
              <a:ln w="19050">
                <a:solidFill>
                  <a:schemeClr val="lt1"/>
                </a:solidFill>
              </a:ln>
              <a:effectLst/>
            </c:spPr>
            <c:extLst>
              <c:ext xmlns:c16="http://schemas.microsoft.com/office/drawing/2014/chart" uri="{C3380CC4-5D6E-409C-BE32-E72D297353CC}">
                <c16:uniqueId val="{00000009-5FDE-443D-8BA2-AACB93BD5FD4}"/>
              </c:ext>
            </c:extLst>
          </c:dPt>
          <c:dPt>
            <c:idx val="5"/>
            <c:bubble3D val="0"/>
            <c:spPr>
              <a:solidFill>
                <a:srgbClr val="CA3B41"/>
              </a:solidFill>
              <a:ln w="19050">
                <a:solidFill>
                  <a:schemeClr val="lt1"/>
                </a:solidFill>
              </a:ln>
              <a:effectLst/>
            </c:spPr>
            <c:extLst>
              <c:ext xmlns:c16="http://schemas.microsoft.com/office/drawing/2014/chart" uri="{C3380CC4-5D6E-409C-BE32-E72D297353CC}">
                <c16:uniqueId val="{0000000B-5FDE-443D-8BA2-AACB93BD5FD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'Features Analysis'!$B$6:$B$11</c:f>
              <c:strCache>
                <c:ptCount val="6"/>
                <c:pt idx="0">
                  <c:v>XS</c:v>
                </c:pt>
                <c:pt idx="1">
                  <c:v>S</c:v>
                </c:pt>
                <c:pt idx="2">
                  <c:v>M</c:v>
                </c:pt>
                <c:pt idx="3">
                  <c:v>L</c:v>
                </c:pt>
                <c:pt idx="4">
                  <c:v>XL</c:v>
                </c:pt>
                <c:pt idx="5">
                  <c:v>XXL</c:v>
                </c:pt>
              </c:strCache>
            </c:strRef>
          </c:cat>
          <c:val>
            <c:numRef>
              <c:f>'Features Analysis'!$C$6:$C$11</c:f>
              <c:numCache>
                <c:formatCode>0.0%</c:formatCode>
                <c:ptCount val="6"/>
                <c:pt idx="0">
                  <c:v>0</c:v>
                </c:pt>
                <c:pt idx="1">
                  <c:v>0.33333333333333331</c:v>
                </c:pt>
                <c:pt idx="2">
                  <c:v>0.66666666666666663</c:v>
                </c:pt>
                <c:pt idx="3">
                  <c:v>0</c:v>
                </c:pt>
                <c:pt idx="4">
                  <c:v>0</c:v>
                </c:pt>
                <c:pt idx="5">
                  <c:v>0</c:v>
                </c:pt>
              </c:numCache>
            </c:numRef>
          </c:val>
          <c:extLst>
            <c:ext xmlns:c16="http://schemas.microsoft.com/office/drawing/2014/chart" uri="{C3380CC4-5D6E-409C-BE32-E72D297353CC}">
              <c16:uniqueId val="{0000000C-5FDE-443D-8BA2-AACB93BD5FD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i="0" baseline="0">
                <a:effectLst/>
              </a:rPr>
              <a:t>Business Uncertainty</a:t>
            </a:r>
            <a:endParaRPr lang="en-GB" sz="20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3"/>
              </a:solidFill>
              <a:ln w="19050">
                <a:solidFill>
                  <a:schemeClr val="lt1"/>
                </a:solidFill>
              </a:ln>
              <a:effectLst/>
            </c:spPr>
            <c:extLst>
              <c:ext xmlns:c16="http://schemas.microsoft.com/office/drawing/2014/chart" uri="{C3380CC4-5D6E-409C-BE32-E72D297353CC}">
                <c16:uniqueId val="{00000001-FECE-4A0D-8FAC-19A5E48967D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FECE-4A0D-8FAC-19A5E48967D5}"/>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FECE-4A0D-8FAC-19A5E48967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CE-4A0D-8FAC-19A5E48967D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CE-4A0D-8FAC-19A5E48967D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CE-4A0D-8FAC-19A5E48967D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'Features Analysis'!$I$6:$I$8</c:f>
              <c:strCache>
                <c:ptCount val="3"/>
                <c:pt idx="0">
                  <c:v>Low</c:v>
                </c:pt>
                <c:pt idx="1">
                  <c:v>Medium</c:v>
                </c:pt>
                <c:pt idx="2">
                  <c:v>High</c:v>
                </c:pt>
              </c:strCache>
            </c:strRef>
          </c:cat>
          <c:val>
            <c:numRef>
              <c:f>'Features Analysis'!$J$6:$J$8</c:f>
              <c:numCache>
                <c:formatCode>0.0%</c:formatCode>
                <c:ptCount val="3"/>
                <c:pt idx="0">
                  <c:v>1</c:v>
                </c:pt>
                <c:pt idx="1">
                  <c:v>0</c:v>
                </c:pt>
                <c:pt idx="2">
                  <c:v>0</c:v>
                </c:pt>
              </c:numCache>
            </c:numRef>
          </c:val>
          <c:extLst>
            <c:ext xmlns:c16="http://schemas.microsoft.com/office/drawing/2014/chart" uri="{C3380CC4-5D6E-409C-BE32-E72D297353CC}">
              <c16:uniqueId val="{0000000C-FECE-4A0D-8FAC-19A5E48967D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i="0" baseline="0">
                <a:effectLst/>
              </a:rPr>
              <a:t>Technical Complexity</a:t>
            </a:r>
            <a:endParaRPr lang="en-GB">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solidFill>
              <a:schemeClr val="accent2"/>
            </a:solidFill>
          </c:spPr>
          <c:dPt>
            <c:idx val="0"/>
            <c:bubble3D val="0"/>
            <c:spPr>
              <a:solidFill>
                <a:schemeClr val="accent3"/>
              </a:solidFill>
              <a:ln w="19050">
                <a:solidFill>
                  <a:schemeClr val="lt1"/>
                </a:solidFill>
              </a:ln>
              <a:effectLst/>
            </c:spPr>
            <c:extLst>
              <c:ext xmlns:c16="http://schemas.microsoft.com/office/drawing/2014/chart" uri="{C3380CC4-5D6E-409C-BE32-E72D297353CC}">
                <c16:uniqueId val="{00000001-8FEC-403D-B412-656F65440CFE}"/>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8FEC-403D-B412-656F65440CFE}"/>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8FEC-403D-B412-656F65440CFE}"/>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8FEC-403D-B412-656F65440CFE}"/>
              </c:ext>
            </c:extLst>
          </c:dPt>
          <c:dPt>
            <c:idx val="4"/>
            <c:bubble3D val="0"/>
            <c:spPr>
              <a:solidFill>
                <a:schemeClr val="accent2"/>
              </a:solidFill>
              <a:ln w="19050">
                <a:solidFill>
                  <a:schemeClr val="lt1"/>
                </a:solidFill>
              </a:ln>
              <a:effectLst/>
            </c:spPr>
            <c:extLst>
              <c:ext xmlns:c16="http://schemas.microsoft.com/office/drawing/2014/chart" uri="{C3380CC4-5D6E-409C-BE32-E72D297353CC}">
                <c16:uniqueId val="{00000009-8FEC-403D-B412-656F65440CFE}"/>
              </c:ext>
            </c:extLst>
          </c:dPt>
          <c:dPt>
            <c:idx val="5"/>
            <c:bubble3D val="0"/>
            <c:spPr>
              <a:solidFill>
                <a:schemeClr val="accent2"/>
              </a:solidFill>
              <a:ln w="19050">
                <a:solidFill>
                  <a:schemeClr val="lt1"/>
                </a:solidFill>
              </a:ln>
              <a:effectLst/>
            </c:spPr>
            <c:extLst>
              <c:ext xmlns:c16="http://schemas.microsoft.com/office/drawing/2014/chart" uri="{C3380CC4-5D6E-409C-BE32-E72D297353CC}">
                <c16:uniqueId val="{0000000B-8FEC-403D-B412-656F65440CF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'Features Analysis'!$O$6:$O$8</c:f>
              <c:strCache>
                <c:ptCount val="3"/>
                <c:pt idx="0">
                  <c:v>Low</c:v>
                </c:pt>
                <c:pt idx="1">
                  <c:v>Medium</c:v>
                </c:pt>
                <c:pt idx="2">
                  <c:v>High</c:v>
                </c:pt>
              </c:strCache>
            </c:strRef>
          </c:cat>
          <c:val>
            <c:numRef>
              <c:f>'Features Analysis'!$P$6:$P$8</c:f>
              <c:numCache>
                <c:formatCode>0.0%</c:formatCode>
                <c:ptCount val="3"/>
                <c:pt idx="0">
                  <c:v>0.33333333333333331</c:v>
                </c:pt>
                <c:pt idx="1">
                  <c:v>0.33333333333333331</c:v>
                </c:pt>
                <c:pt idx="2">
                  <c:v>0.33333333333333331</c:v>
                </c:pt>
              </c:numCache>
            </c:numRef>
          </c:val>
          <c:extLst>
            <c:ext xmlns:c16="http://schemas.microsoft.com/office/drawing/2014/chart" uri="{C3380CC4-5D6E-409C-BE32-E72D297353CC}">
              <c16:uniqueId val="{0000000C-8FEC-403D-B412-656F65440CF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9922421201774553E-2"/>
          <c:y val="3.8100437445319338E-2"/>
          <c:w val="0.86927405527899204"/>
          <c:h val="0.86628139449344599"/>
        </c:manualLayout>
      </c:layout>
      <c:scatterChart>
        <c:scatterStyle val="lineMarker"/>
        <c:varyColors val="0"/>
        <c:ser>
          <c:idx val="0"/>
          <c:order val="0"/>
          <c:tx>
            <c:v>Best Case</c:v>
          </c:tx>
          <c:spPr>
            <a:ln>
              <a:solidFill>
                <a:srgbClr val="487B48"/>
              </a:solidFill>
            </a:ln>
          </c:spPr>
          <c:marker>
            <c:symbol val="none"/>
          </c:marker>
          <c:dLbls>
            <c:dLbl>
              <c:idx val="1"/>
              <c:tx>
                <c:rich>
                  <a:bodyPr/>
                  <a:lstStyle/>
                  <a:p>
                    <a:fld id="{B382B5FC-B8E5-45FF-8FDD-9F7829C96DC8}" type="XVALUE">
                      <a:rPr lang="en-US"/>
                      <a:pPr/>
                      <a:t>[X 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9DB3-4265-96AE-B66AAE791F86}"/>
                </c:ext>
              </c:extLst>
            </c:dLbl>
            <c:numFmt formatCode="0.00" sourceLinked="0"/>
            <c:spPr>
              <a:noFill/>
              <a:ln>
                <a:noFill/>
              </a:ln>
              <a:effectLst/>
            </c:spPr>
            <c:txPr>
              <a:bodyPr wrap="square" lIns="38100" tIns="19050" rIns="38100" bIns="19050" anchor="ctr">
                <a:spAutoFit/>
              </a:bodyPr>
              <a:lstStyle/>
              <a:p>
                <a:pPr>
                  <a:defRPr>
                    <a:latin typeface="Arial" panose="020B0604020202020204" pitchFamily="34" charset="0"/>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'Cone of Uncertainty'!$E$3:$E$4</c:f>
              <c:numCache>
                <c:formatCode>0.00</c:formatCode>
                <c:ptCount val="2"/>
                <c:pt idx="0">
                  <c:v>0</c:v>
                </c:pt>
                <c:pt idx="1">
                  <c:v>6</c:v>
                </c:pt>
              </c:numCache>
            </c:numRef>
          </c:xVal>
          <c:yVal>
            <c:numRef>
              <c:f>'Cone of Uncertainty'!$F$3:$F$4</c:f>
              <c:numCache>
                <c:formatCode>0.00</c:formatCode>
                <c:ptCount val="2"/>
                <c:pt idx="0">
                  <c:v>0</c:v>
                </c:pt>
                <c:pt idx="1">
                  <c:v>10</c:v>
                </c:pt>
              </c:numCache>
            </c:numRef>
          </c:yVal>
          <c:smooth val="0"/>
          <c:extLst>
            <c:ext xmlns:c16="http://schemas.microsoft.com/office/drawing/2014/chart" uri="{C3380CC4-5D6E-409C-BE32-E72D297353CC}">
              <c16:uniqueId val="{00000001-9DB3-4265-96AE-B66AAE791F86}"/>
            </c:ext>
          </c:extLst>
        </c:ser>
        <c:ser>
          <c:idx val="1"/>
          <c:order val="1"/>
          <c:tx>
            <c:v>Most Likely</c:v>
          </c:tx>
          <c:spPr>
            <a:ln>
              <a:solidFill>
                <a:srgbClr val="F7BE66"/>
              </a:solidFill>
            </a:ln>
          </c:spPr>
          <c:marker>
            <c:symbol val="none"/>
          </c:marker>
          <c:dLbls>
            <c:dLbl>
              <c:idx val="1"/>
              <c:tx>
                <c:rich>
                  <a:bodyPr/>
                  <a:lstStyle/>
                  <a:p>
                    <a:fld id="{D4630227-8C57-4A61-AAE3-5EF13263CADC}" type="XVALUE">
                      <a:rPr lang="en-US"/>
                      <a:pPr/>
                      <a:t>[X 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DB3-4265-96AE-B66AAE791F86}"/>
                </c:ext>
              </c:extLst>
            </c:dLbl>
            <c:numFmt formatCode="0.00" sourceLinked="0"/>
            <c:spPr>
              <a:noFill/>
              <a:ln>
                <a:noFill/>
              </a:ln>
              <a:effectLst/>
            </c:spPr>
            <c:txPr>
              <a:bodyPr wrap="square" lIns="38100" tIns="19050" rIns="38100" bIns="19050" anchor="ctr">
                <a:spAutoFit/>
              </a:bodyPr>
              <a:lstStyle/>
              <a:p>
                <a:pPr>
                  <a:defRPr>
                    <a:latin typeface="Arial" panose="020B0604020202020204" pitchFamily="34" charset="0"/>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'Cone of Uncertainty'!$E$5:$E$6</c:f>
              <c:numCache>
                <c:formatCode>0.00</c:formatCode>
                <c:ptCount val="2"/>
                <c:pt idx="0">
                  <c:v>0</c:v>
                </c:pt>
                <c:pt idx="1">
                  <c:v>6</c:v>
                </c:pt>
              </c:numCache>
            </c:numRef>
          </c:xVal>
          <c:yVal>
            <c:numRef>
              <c:f>'Cone of Uncertainty'!$F$5:$F$6</c:f>
              <c:numCache>
                <c:formatCode>0.00</c:formatCode>
                <c:ptCount val="2"/>
                <c:pt idx="0">
                  <c:v>0</c:v>
                </c:pt>
                <c:pt idx="1">
                  <c:v>10</c:v>
                </c:pt>
              </c:numCache>
            </c:numRef>
          </c:yVal>
          <c:smooth val="0"/>
          <c:extLst>
            <c:ext xmlns:c16="http://schemas.microsoft.com/office/drawing/2014/chart" uri="{C3380CC4-5D6E-409C-BE32-E72D297353CC}">
              <c16:uniqueId val="{00000003-9DB3-4265-96AE-B66AAE791F86}"/>
            </c:ext>
          </c:extLst>
        </c:ser>
        <c:ser>
          <c:idx val="2"/>
          <c:order val="2"/>
          <c:tx>
            <c:v>Worst Case</c:v>
          </c:tx>
          <c:spPr>
            <a:ln>
              <a:solidFill>
                <a:srgbClr val="CA3B41"/>
              </a:solidFill>
            </a:ln>
          </c:spPr>
          <c:marker>
            <c:symbol val="none"/>
          </c:marker>
          <c:dLbls>
            <c:dLbl>
              <c:idx val="1"/>
              <c:tx>
                <c:rich>
                  <a:bodyPr/>
                  <a:lstStyle/>
                  <a:p>
                    <a:fld id="{C0A922E2-7271-4200-849E-00A5B1F24BC5}" type="XVALUE">
                      <a:rPr lang="en-US"/>
                      <a:pPr/>
                      <a:t>[X 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DB3-4265-96AE-B66AAE791F86}"/>
                </c:ext>
              </c:extLst>
            </c:dLbl>
            <c:numFmt formatCode="0.00" sourceLinked="0"/>
            <c:spPr>
              <a:noFill/>
              <a:ln>
                <a:noFill/>
              </a:ln>
              <a:effectLst/>
            </c:spPr>
            <c:txPr>
              <a:bodyPr wrap="square" lIns="38100" tIns="19050" rIns="38100" bIns="19050" anchor="ctr">
                <a:spAutoFit/>
              </a:bodyPr>
              <a:lstStyle/>
              <a:p>
                <a:pPr>
                  <a:defRPr>
                    <a:latin typeface="Arial" panose="020B0604020202020204" pitchFamily="34" charset="0"/>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'Cone of Uncertainty'!$E$7:$E$8</c:f>
              <c:numCache>
                <c:formatCode>0.00</c:formatCode>
                <c:ptCount val="2"/>
                <c:pt idx="0">
                  <c:v>0</c:v>
                </c:pt>
                <c:pt idx="1">
                  <c:v>6</c:v>
                </c:pt>
              </c:numCache>
            </c:numRef>
          </c:xVal>
          <c:yVal>
            <c:numRef>
              <c:f>'Cone of Uncertainty'!$F$7:$F$8</c:f>
              <c:numCache>
                <c:formatCode>0.00</c:formatCode>
                <c:ptCount val="2"/>
                <c:pt idx="0">
                  <c:v>0</c:v>
                </c:pt>
                <c:pt idx="1">
                  <c:v>10</c:v>
                </c:pt>
              </c:numCache>
            </c:numRef>
          </c:yVal>
          <c:smooth val="0"/>
          <c:extLst>
            <c:ext xmlns:c16="http://schemas.microsoft.com/office/drawing/2014/chart" uri="{C3380CC4-5D6E-409C-BE32-E72D297353CC}">
              <c16:uniqueId val="{00000005-9DB3-4265-96AE-B66AAE791F86}"/>
            </c:ext>
          </c:extLst>
        </c:ser>
        <c:ser>
          <c:idx val="3"/>
          <c:order val="3"/>
          <c:tx>
            <c:v>Threashold</c:v>
          </c:tx>
          <c:spPr>
            <a:ln>
              <a:solidFill>
                <a:schemeClr val="bg1">
                  <a:lumMod val="65000"/>
                </a:schemeClr>
              </a:solidFill>
              <a:prstDash val="sysDash"/>
            </a:ln>
          </c:spPr>
          <c:marker>
            <c:symbol val="none"/>
          </c:marker>
          <c:dLbls>
            <c:delete val="1"/>
          </c:dLbls>
          <c:xVal>
            <c:numRef>
              <c:f>'Cone of Uncertainty'!$E$9:$E$10</c:f>
              <c:numCache>
                <c:formatCode>0.00</c:formatCode>
                <c:ptCount val="2"/>
                <c:pt idx="0" formatCode="General">
                  <c:v>0</c:v>
                </c:pt>
                <c:pt idx="1">
                  <c:v>22</c:v>
                </c:pt>
              </c:numCache>
            </c:numRef>
          </c:xVal>
          <c:yVal>
            <c:numRef>
              <c:f>'Cone of Uncertainty'!$F$9:$F$10</c:f>
              <c:numCache>
                <c:formatCode>0.00</c:formatCode>
                <c:ptCount val="2"/>
                <c:pt idx="0">
                  <c:v>10</c:v>
                </c:pt>
                <c:pt idx="1">
                  <c:v>10</c:v>
                </c:pt>
              </c:numCache>
            </c:numRef>
          </c:yVal>
          <c:smooth val="0"/>
          <c:extLst>
            <c:ext xmlns:c16="http://schemas.microsoft.com/office/drawing/2014/chart" uri="{C3380CC4-5D6E-409C-BE32-E72D297353CC}">
              <c16:uniqueId val="{00000006-9DB3-4265-96AE-B66AAE791F86}"/>
            </c:ext>
          </c:extLst>
        </c:ser>
        <c:dLbls>
          <c:dLblPos val="t"/>
          <c:showLegendKey val="0"/>
          <c:showVal val="1"/>
          <c:showCatName val="0"/>
          <c:showSerName val="0"/>
          <c:showPercent val="0"/>
          <c:showBubbleSize val="0"/>
        </c:dLbls>
        <c:axId val="-1181459520"/>
        <c:axId val="-1181452992"/>
      </c:scatterChart>
      <c:valAx>
        <c:axId val="-1181459520"/>
        <c:scaling>
          <c:orientation val="minMax"/>
        </c:scaling>
        <c:delete val="0"/>
        <c:axPos val="b"/>
        <c:title>
          <c:tx>
            <c:rich>
              <a:bodyPr/>
              <a:lstStyle/>
              <a:p>
                <a:pPr>
                  <a:defRPr>
                    <a:latin typeface="Arial Narrow" panose="020B0606020202030204" pitchFamily="34" charset="0"/>
                  </a:defRPr>
                </a:pPr>
                <a:r>
                  <a:rPr lang="en-GB" sz="1100">
                    <a:latin typeface="Arial Narrow" panose="020B0606020202030204" pitchFamily="34" charset="0"/>
                  </a:rPr>
                  <a:t>Number</a:t>
                </a:r>
                <a:r>
                  <a:rPr lang="en-GB" sz="1100" baseline="0">
                    <a:latin typeface="Arial Narrow" panose="020B0606020202030204" pitchFamily="34" charset="0"/>
                  </a:rPr>
                  <a:t> of Sprints including setup, UAT ..</a:t>
                </a:r>
              </a:p>
            </c:rich>
          </c:tx>
          <c:overlay val="0"/>
        </c:title>
        <c:numFmt formatCode="0" sourceLinked="0"/>
        <c:majorTickMark val="cross"/>
        <c:minorTickMark val="in"/>
        <c:tickLblPos val="nextTo"/>
        <c:spPr>
          <a:ln>
            <a:solidFill>
              <a:schemeClr val="bg1">
                <a:lumMod val="65000"/>
              </a:schemeClr>
            </a:solidFill>
            <a:prstDash val="solid"/>
          </a:ln>
        </c:spPr>
        <c:txPr>
          <a:bodyPr/>
          <a:lstStyle/>
          <a:p>
            <a:pPr>
              <a:defRPr>
                <a:latin typeface="Arial" panose="020B0604020202020204" pitchFamily="34" charset="0"/>
                <a:cs typeface="Arial" panose="020B0604020202020204" pitchFamily="34" charset="0"/>
              </a:defRPr>
            </a:pPr>
            <a:endParaRPr lang="en-US"/>
          </a:p>
        </c:txPr>
        <c:crossAx val="-1181452992"/>
        <c:crosses val="autoZero"/>
        <c:crossBetween val="midCat"/>
        <c:minorUnit val="1"/>
      </c:valAx>
      <c:valAx>
        <c:axId val="-1181452992"/>
        <c:scaling>
          <c:orientation val="minMax"/>
        </c:scaling>
        <c:delete val="0"/>
        <c:axPos val="l"/>
        <c:majorGridlines>
          <c:spPr>
            <a:ln>
              <a:noFill/>
            </a:ln>
          </c:spPr>
        </c:majorGridlines>
        <c:title>
          <c:tx>
            <c:rich>
              <a:bodyPr/>
              <a:lstStyle/>
              <a:p>
                <a:pPr>
                  <a:defRPr>
                    <a:latin typeface="Arial Narrow" panose="020B0606020202030204" pitchFamily="34" charset="0"/>
                  </a:defRPr>
                </a:pPr>
                <a:r>
                  <a:rPr lang="en-GB" sz="1100">
                    <a:latin typeface="Arial Narrow" panose="020B0606020202030204" pitchFamily="34" charset="0"/>
                  </a:rPr>
                  <a:t>Scope in Story</a:t>
                </a:r>
                <a:r>
                  <a:rPr lang="en-GB" sz="1100" baseline="0">
                    <a:latin typeface="Arial Narrow" panose="020B0606020202030204" pitchFamily="34" charset="0"/>
                  </a:rPr>
                  <a:t> Points</a:t>
                </a:r>
                <a:endParaRPr lang="en-GB" sz="1100">
                  <a:latin typeface="Arial Narrow" panose="020B0606020202030204" pitchFamily="34" charset="0"/>
                </a:endParaRPr>
              </a:p>
            </c:rich>
          </c:tx>
          <c:overlay val="0"/>
        </c:title>
        <c:numFmt formatCode="0.00" sourceLinked="1"/>
        <c:majorTickMark val="out"/>
        <c:minorTickMark val="none"/>
        <c:tickLblPos val="none"/>
        <c:crossAx val="-1181459520"/>
        <c:crosses val="autoZero"/>
        <c:crossBetween val="midCat"/>
      </c:valAx>
    </c:plotArea>
    <c:plotVisOnly val="0"/>
    <c:dispBlanksAs val="zero"/>
    <c:showDLblsOverMax val="0"/>
  </c:chart>
  <c:spPr>
    <a:solidFill>
      <a:sysClr val="window" lastClr="FFFFFF"/>
    </a:solidFill>
    <a:scene3d>
      <a:camera prst="orthographicFront"/>
      <a:lightRig rig="threePt" dir="t"/>
    </a:scene3d>
    <a:sp3d>
      <a:bevelT/>
    </a:sp3d>
  </c:sp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[Agile Estimation Template Existing Project V1.1.xlsx]byUncertainty!PivotTable6</c:name>
    <c:fmtId val="22"/>
  </c:pivotSource>
  <c:chart>
    <c:title>
      <c:tx>
        <c:rich>
          <a:bodyPr/>
          <a:lstStyle/>
          <a:p>
            <a:pPr>
              <a:defRPr>
                <a:solidFill>
                  <a:schemeClr val="tx1">
                    <a:lumMod val="65000"/>
                    <a:lumOff val="35000"/>
                  </a:schemeClr>
                </a:solidFill>
              </a:defRPr>
            </a:pPr>
            <a:r>
              <a:rPr lang="en-GB" sz="1600">
                <a:solidFill>
                  <a:schemeClr val="tx1">
                    <a:lumMod val="65000"/>
                    <a:lumOff val="35000"/>
                  </a:schemeClr>
                </a:solidFill>
              </a:rPr>
              <a:t>Business Uncertainty</a:t>
            </a:r>
          </a:p>
        </c:rich>
      </c:tx>
      <c:layout>
        <c:manualLayout>
          <c:xMode val="edge"/>
          <c:yMode val="edge"/>
          <c:x val="0.20391904500309554"/>
          <c:y val="1.014987518419953E-2"/>
        </c:manualLayout>
      </c:layout>
      <c:overlay val="0"/>
    </c:title>
    <c:autoTitleDeleted val="0"/>
    <c:pivotFmts>
      <c:pivotFmt>
        <c:idx val="0"/>
        <c:marker>
          <c:symbol val="none"/>
        </c:marker>
        <c:dLbl>
          <c:idx val="0"/>
          <c:spPr>
            <a:solidFill>
              <a:sysClr val="window" lastClr="FFFFFF"/>
            </a:solidFill>
            <a:ln>
              <a:noFill/>
            </a:ln>
            <a:effectLst/>
          </c:spPr>
          <c:txPr>
            <a:bodyPr lIns="38100" tIns="19050" rIns="38100" bIns="19050">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rgbClr val="CA3B41"/>
          </a:solidFill>
        </c:spPr>
        <c:dLbl>
          <c:idx val="0"/>
          <c:spPr>
            <a:ln>
              <a:noFill/>
            </a:ln>
          </c:spPr>
          <c:txPr>
            <a:bodyPr lIns="38100" tIns="19050" rIns="38100" bIns="19050">
              <a:spAutoFit/>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487B48"/>
          </a:solidFill>
        </c:spPr>
        <c:dLbl>
          <c:idx val="0"/>
          <c:spPr>
            <a:ln>
              <a:noFill/>
            </a:ln>
          </c:spPr>
          <c:txPr>
            <a:bodyPr lIns="38100" tIns="19050" rIns="38100" bIns="19050">
              <a:spAutoFit/>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F7BE66"/>
          </a:solidFill>
        </c:spPr>
      </c:pivotFmt>
      <c:pivotFmt>
        <c:idx val="7"/>
        <c:marker>
          <c:symbol val="none"/>
        </c:marker>
      </c:pivotFmt>
      <c:pivotFmt>
        <c:idx val="8"/>
      </c:pivotFmt>
      <c:pivotFmt>
        <c:idx val="9"/>
      </c:pivotFmt>
      <c:pivotFmt>
        <c:idx val="10"/>
      </c:pivotFmt>
      <c:pivotFmt>
        <c:idx val="11"/>
      </c:pivotFmt>
      <c:pivotFmt>
        <c:idx val="12"/>
      </c:pivotFmt>
      <c:pivotFmt>
        <c:idx val="13"/>
      </c:pivotFmt>
      <c:pivotFmt>
        <c:idx val="14"/>
      </c:pivotFmt>
    </c:pivotFmts>
    <c:plotArea>
      <c:layout>
        <c:manualLayout>
          <c:layoutTarget val="inner"/>
          <c:xMode val="edge"/>
          <c:yMode val="edge"/>
          <c:x val="0.15095972334934454"/>
          <c:y val="0.17546429837682301"/>
          <c:w val="0.66465436945729972"/>
          <c:h val="0.7285828408835181"/>
        </c:manualLayout>
      </c:layout>
      <c:pieChart>
        <c:varyColors val="1"/>
        <c:ser>
          <c:idx val="0"/>
          <c:order val="0"/>
          <c:tx>
            <c:strRef>
              <c:f>byUncertainty!$B$3</c:f>
              <c:strCache>
                <c:ptCount val="1"/>
                <c:pt idx="0">
                  <c:v>%tage</c:v>
                </c:pt>
              </c:strCache>
            </c:strRef>
          </c:tx>
          <c:explosion val="5"/>
          <c:dPt>
            <c:idx val="0"/>
            <c:bubble3D val="0"/>
            <c:explosion val="0"/>
            <c:spPr>
              <a:solidFill>
                <a:srgbClr val="487B48"/>
              </a:solidFill>
            </c:spPr>
            <c:extLst>
              <c:ext xmlns:c16="http://schemas.microsoft.com/office/drawing/2014/chart" uri="{C3380CC4-5D6E-409C-BE32-E72D297353CC}">
                <c16:uniqueId val="{00000001-3726-4E54-A618-175F966A5596}"/>
              </c:ext>
            </c:extLst>
          </c:dPt>
          <c:dPt>
            <c:idx val="1"/>
            <c:bubble3D val="0"/>
            <c:explosion val="0"/>
            <c:spPr>
              <a:solidFill>
                <a:srgbClr val="F7BE66"/>
              </a:solidFill>
            </c:spPr>
            <c:extLst>
              <c:ext xmlns:c16="http://schemas.microsoft.com/office/drawing/2014/chart" uri="{C3380CC4-5D6E-409C-BE32-E72D297353CC}">
                <c16:uniqueId val="{00000002-3726-4E54-A618-175F966A5596}"/>
              </c:ext>
            </c:extLst>
          </c:dPt>
          <c:dPt>
            <c:idx val="2"/>
            <c:bubble3D val="0"/>
            <c:explosion val="0"/>
            <c:spPr>
              <a:solidFill>
                <a:srgbClr val="CA3B41"/>
              </a:solidFill>
            </c:spPr>
            <c:extLst>
              <c:ext xmlns:c16="http://schemas.microsoft.com/office/drawing/2014/chart" uri="{C3380CC4-5D6E-409C-BE32-E72D297353CC}">
                <c16:uniqueId val="{00000003-3726-4E54-A618-175F966A5596}"/>
              </c:ext>
            </c:extLst>
          </c:dPt>
          <c:dLbls>
            <c:dLbl>
              <c:idx val="0"/>
              <c:spPr>
                <a:ln>
                  <a:noFill/>
                </a:ln>
              </c:spPr>
              <c:txPr>
                <a:bodyPr lIns="38100" tIns="19050" rIns="38100" bIns="19050">
                  <a:spAutoFit/>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3726-4E54-A618-175F966A5596}"/>
                </c:ext>
              </c:extLst>
            </c:dLbl>
            <c:dLbl>
              <c:idx val="2"/>
              <c:spPr>
                <a:ln>
                  <a:noFill/>
                </a:ln>
              </c:spPr>
              <c:txPr>
                <a:bodyPr lIns="38100" tIns="19050" rIns="38100" bIns="19050">
                  <a:spAutoFit/>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3726-4E54-A618-175F966A5596}"/>
                </c:ext>
              </c:extLst>
            </c:dLbl>
            <c:spPr>
              <a:solidFill>
                <a:sysClr val="window" lastClr="FFFFFF"/>
              </a:solidFill>
              <a:ln>
                <a:noFill/>
              </a:ln>
              <a:effectLst/>
            </c:spPr>
            <c:txPr>
              <a:bodyPr lIns="38100" tIns="19050" rIns="38100" bIns="19050">
                <a:spAutoFit/>
              </a:bodyPr>
              <a:lstStyle/>
              <a:p>
                <a:pPr>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byUncertainty!$A$4:$A$7</c:f>
              <c:strCache>
                <c:ptCount val="3"/>
                <c:pt idx="0">
                  <c:v>Low</c:v>
                </c:pt>
                <c:pt idx="1">
                  <c:v>Medium</c:v>
                </c:pt>
                <c:pt idx="2">
                  <c:v>High</c:v>
                </c:pt>
              </c:strCache>
            </c:strRef>
          </c:cat>
          <c:val>
            <c:numRef>
              <c:f>byUncertainty!$B$4:$B$7</c:f>
              <c:numCache>
                <c:formatCode>0.0%</c:formatCode>
                <c:ptCount val="3"/>
                <c:pt idx="0">
                  <c:v>0.19575699132111862</c:v>
                </c:pt>
                <c:pt idx="1">
                  <c:v>0.27193828351012539</c:v>
                </c:pt>
                <c:pt idx="2">
                  <c:v>0.53230472516875604</c:v>
                </c:pt>
              </c:numCache>
            </c:numRef>
          </c:val>
          <c:extLst>
            <c:ext xmlns:c16="http://schemas.microsoft.com/office/drawing/2014/chart" uri="{C3380CC4-5D6E-409C-BE32-E72D297353CC}">
              <c16:uniqueId val="{00000004-3726-4E54-A618-175F966A5596}"/>
            </c:ext>
          </c:extLst>
        </c:ser>
        <c:ser>
          <c:idx val="1"/>
          <c:order val="1"/>
          <c:tx>
            <c:strRef>
              <c:f>byUncertainty!$C$3</c:f>
              <c:strCache>
                <c:ptCount val="1"/>
                <c:pt idx="0">
                  <c:v>Best Case (SP)</c:v>
                </c:pt>
              </c:strCache>
            </c:strRef>
          </c:tx>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byUncertainty!$A$4:$A$7</c:f>
              <c:strCache>
                <c:ptCount val="3"/>
                <c:pt idx="0">
                  <c:v>Low</c:v>
                </c:pt>
                <c:pt idx="1">
                  <c:v>Medium</c:v>
                </c:pt>
                <c:pt idx="2">
                  <c:v>High</c:v>
                </c:pt>
              </c:strCache>
            </c:strRef>
          </c:cat>
          <c:val>
            <c:numRef>
              <c:f>byUncertainty!$C$4:$C$7</c:f>
              <c:numCache>
                <c:formatCode>#,##0.0</c:formatCode>
                <c:ptCount val="3"/>
                <c:pt idx="0">
                  <c:v>75.650000000000006</c:v>
                </c:pt>
                <c:pt idx="1">
                  <c:v>83.8</c:v>
                </c:pt>
                <c:pt idx="2">
                  <c:v>69.7</c:v>
                </c:pt>
              </c:numCache>
            </c:numRef>
          </c:val>
          <c:extLst>
            <c:ext xmlns:c16="http://schemas.microsoft.com/office/drawing/2014/chart" uri="{C3380CC4-5D6E-409C-BE32-E72D297353CC}">
              <c16:uniqueId val="{00000005-3726-4E54-A618-175F966A5596}"/>
            </c:ext>
          </c:extLst>
        </c:ser>
        <c:ser>
          <c:idx val="2"/>
          <c:order val="2"/>
          <c:tx>
            <c:strRef>
              <c:f>byUncertainty!$D$3</c:f>
              <c:strCache>
                <c:ptCount val="1"/>
                <c:pt idx="0">
                  <c:v>Most Likely (SP)</c:v>
                </c:pt>
              </c:strCache>
            </c:strRef>
          </c:tx>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byUncertainty!$A$4:$A$7</c:f>
              <c:strCache>
                <c:ptCount val="3"/>
                <c:pt idx="0">
                  <c:v>Low</c:v>
                </c:pt>
                <c:pt idx="1">
                  <c:v>Medium</c:v>
                </c:pt>
                <c:pt idx="2">
                  <c:v>High</c:v>
                </c:pt>
              </c:strCache>
            </c:strRef>
          </c:cat>
          <c:val>
            <c:numRef>
              <c:f>byUncertainty!$D$4:$D$7</c:f>
              <c:numCache>
                <c:formatCode>#,##0.0</c:formatCode>
                <c:ptCount val="3"/>
                <c:pt idx="0">
                  <c:v>101.5</c:v>
                </c:pt>
                <c:pt idx="1">
                  <c:v>141</c:v>
                </c:pt>
                <c:pt idx="2">
                  <c:v>276</c:v>
                </c:pt>
              </c:numCache>
            </c:numRef>
          </c:val>
          <c:extLst>
            <c:ext xmlns:c16="http://schemas.microsoft.com/office/drawing/2014/chart" uri="{C3380CC4-5D6E-409C-BE32-E72D297353CC}">
              <c16:uniqueId val="{00000006-3726-4E54-A618-175F966A5596}"/>
            </c:ext>
          </c:extLst>
        </c:ser>
        <c:ser>
          <c:idx val="3"/>
          <c:order val="3"/>
          <c:tx>
            <c:strRef>
              <c:f>byUncertainty!$E$3</c:f>
              <c:strCache>
                <c:ptCount val="1"/>
                <c:pt idx="0">
                  <c:v>Worst Case (SP)</c:v>
                </c:pt>
              </c:strCache>
            </c:strRef>
          </c:tx>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byUncertainty!$A$4:$A$7</c:f>
              <c:strCache>
                <c:ptCount val="3"/>
                <c:pt idx="0">
                  <c:v>Low</c:v>
                </c:pt>
                <c:pt idx="1">
                  <c:v>Medium</c:v>
                </c:pt>
                <c:pt idx="2">
                  <c:v>High</c:v>
                </c:pt>
              </c:strCache>
            </c:strRef>
          </c:cat>
          <c:val>
            <c:numRef>
              <c:f>byUncertainty!$E$4:$E$7</c:f>
              <c:numCache>
                <c:formatCode>#,##0.0</c:formatCode>
                <c:ptCount val="3"/>
                <c:pt idx="0">
                  <c:v>127.35</c:v>
                </c:pt>
                <c:pt idx="1">
                  <c:v>198.2</c:v>
                </c:pt>
                <c:pt idx="2">
                  <c:v>482.3</c:v>
                </c:pt>
              </c:numCache>
            </c:numRef>
          </c:val>
          <c:extLst>
            <c:ext xmlns:c16="http://schemas.microsoft.com/office/drawing/2014/chart" uri="{C3380CC4-5D6E-409C-BE32-E72D297353CC}">
              <c16:uniqueId val="{00000007-3726-4E54-A618-175F966A5596}"/>
            </c:ext>
          </c:extLst>
        </c:ser>
        <c:dLbls>
          <c:showLegendKey val="0"/>
          <c:showVal val="0"/>
          <c:showCatName val="0"/>
          <c:showSerName val="0"/>
          <c:showPercent val="0"/>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[Agile Estimation Template Existing Project V1.1.xlsx]byComplexity!PivotTable2</c:name>
    <c:fmtId val="0"/>
  </c:pivotSource>
  <c:chart>
    <c:title>
      <c:tx>
        <c:rich>
          <a:bodyPr/>
          <a:lstStyle/>
          <a:p>
            <a:pPr>
              <a:defRPr>
                <a:solidFill>
                  <a:schemeClr val="tx1">
                    <a:lumMod val="65000"/>
                    <a:lumOff val="35000"/>
                  </a:schemeClr>
                </a:solidFill>
              </a:defRPr>
            </a:pPr>
            <a:r>
              <a:rPr lang="en-GB" sz="1600" baseline="0">
                <a:solidFill>
                  <a:schemeClr val="tx1">
                    <a:lumMod val="65000"/>
                    <a:lumOff val="35000"/>
                  </a:schemeClr>
                </a:solidFill>
              </a:rPr>
              <a:t>Technical Complexity</a:t>
            </a:r>
            <a:endParaRPr lang="en-GB" sz="1600">
              <a:solidFill>
                <a:schemeClr val="tx1">
                  <a:lumMod val="65000"/>
                  <a:lumOff val="35000"/>
                </a:schemeClr>
              </a:solidFill>
            </a:endParaRPr>
          </a:p>
        </c:rich>
      </c:tx>
      <c:layout>
        <c:manualLayout>
          <c:xMode val="edge"/>
          <c:yMode val="edge"/>
          <c:x val="0.21804986870158627"/>
          <c:y val="4.9263472298994365E-3"/>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spPr>
          <a:solidFill>
            <a:schemeClr val="accent3"/>
          </a:solidFill>
        </c:spPr>
      </c:pivotFmt>
      <c:pivotFmt>
        <c:idx val="6"/>
        <c:spPr>
          <a:solidFill>
            <a:srgbClr val="FFC000"/>
          </a:solidFill>
        </c:spPr>
      </c:pivotFmt>
      <c:pivotFmt>
        <c:idx val="7"/>
        <c:spPr>
          <a:solidFill>
            <a:srgbClr val="FF0000"/>
          </a:solidFill>
        </c:spPr>
      </c:pivotFmt>
      <c:pivotFmt>
        <c:idx val="8"/>
        <c:marker>
          <c:symbol val="none"/>
        </c:marker>
        <c:dLbl>
          <c:idx val="0"/>
          <c:spPr/>
          <c:txPr>
            <a:bodyPr/>
            <a:lstStyle/>
            <a:p>
              <a:pPr>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FF0000"/>
          </a:solidFill>
        </c:spPr>
      </c:pivotFmt>
      <c:pivotFmt>
        <c:idx val="10"/>
        <c:spPr>
          <a:solidFill>
            <a:schemeClr val="accent3"/>
          </a:solidFill>
        </c:spPr>
      </c:pivotFmt>
      <c:pivotFmt>
        <c:idx val="11"/>
        <c:spPr>
          <a:solidFill>
            <a:srgbClr val="FFC000"/>
          </a:solidFill>
        </c:spPr>
      </c:pivotFmt>
      <c:pivotFmt>
        <c:idx val="12"/>
        <c:marker>
          <c:symbol val="none"/>
        </c:marker>
      </c:pivotFmt>
      <c:pivotFmt>
        <c:idx val="13"/>
        <c:marker>
          <c:symbol val="none"/>
        </c:marker>
      </c:pivotFmt>
      <c:pivotFmt>
        <c:idx val="14"/>
        <c:marker>
          <c:symbol val="none"/>
        </c:marker>
      </c:pivotFmt>
      <c:pivotFmt>
        <c:idx val="15"/>
        <c:marker>
          <c:symbol val="none"/>
        </c:marker>
        <c:dLbl>
          <c:idx val="0"/>
          <c:spPr/>
          <c:txPr>
            <a:bodyPr/>
            <a:lstStyle/>
            <a:p>
              <a:pPr>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rgbClr val="FF0000"/>
          </a:solidFill>
        </c:spPr>
      </c:pivotFmt>
      <c:pivotFmt>
        <c:idx val="17"/>
        <c:spPr>
          <a:solidFill>
            <a:schemeClr val="accent3"/>
          </a:solidFill>
        </c:spPr>
      </c:pivotFmt>
      <c:pivotFmt>
        <c:idx val="18"/>
        <c:spPr>
          <a:solidFill>
            <a:srgbClr val="FFC000"/>
          </a:solidFill>
        </c:spPr>
      </c:pivotFmt>
      <c:pivotFmt>
        <c:idx val="19"/>
        <c:marker>
          <c:symbol val="none"/>
        </c:marker>
      </c:pivotFmt>
      <c:pivotFmt>
        <c:idx val="20"/>
        <c:marker>
          <c:symbol val="none"/>
        </c:marker>
      </c:pivotFmt>
      <c:pivotFmt>
        <c:idx val="21"/>
        <c:marker>
          <c:symbol val="none"/>
        </c:marker>
      </c:pivotFmt>
      <c:pivotFmt>
        <c:idx val="22"/>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rgbClr val="CA3B41"/>
          </a:solidFill>
        </c:spPr>
        <c:dLbl>
          <c:idx val="0"/>
          <c:spPr>
            <a:noFill/>
            <a:ln>
              <a:noFill/>
            </a:ln>
            <a:effectLst/>
          </c:spPr>
          <c:txPr>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rgbClr val="487B48"/>
          </a:solidFill>
        </c:spPr>
        <c:dLbl>
          <c:idx val="0"/>
          <c:spPr>
            <a:noFill/>
            <a:ln>
              <a:noFill/>
            </a:ln>
            <a:effectLst/>
          </c:spPr>
          <c:txPr>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rgbClr val="F7BE66"/>
          </a:solidFill>
        </c:spPr>
        <c:dLbl>
          <c:idx val="0"/>
          <c:spPr>
            <a:noFill/>
            <a:ln>
              <a:noFill/>
            </a:ln>
            <a:effectLst/>
          </c:spPr>
          <c:txPr>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454248774458748"/>
          <c:y val="0.16648191967695075"/>
          <c:w val="0.63091502451082504"/>
          <c:h val="0.7832047229950182"/>
        </c:manualLayout>
      </c:layout>
      <c:pieChart>
        <c:varyColors val="1"/>
        <c:ser>
          <c:idx val="0"/>
          <c:order val="0"/>
          <c:tx>
            <c:strRef>
              <c:f>byComplexity!$B$3</c:f>
              <c:strCache>
                <c:ptCount val="1"/>
                <c:pt idx="0">
                  <c:v>%tage</c:v>
                </c:pt>
              </c:strCache>
            </c:strRef>
          </c:tx>
          <c:explosion val="4"/>
          <c:dPt>
            <c:idx val="0"/>
            <c:bubble3D val="0"/>
            <c:explosion val="0"/>
            <c:spPr>
              <a:solidFill>
                <a:srgbClr val="487B48"/>
              </a:solidFill>
            </c:spPr>
            <c:extLst>
              <c:ext xmlns:c16="http://schemas.microsoft.com/office/drawing/2014/chart" uri="{C3380CC4-5D6E-409C-BE32-E72D297353CC}">
                <c16:uniqueId val="{00000001-6F1C-4582-B775-28BE4EBBB836}"/>
              </c:ext>
            </c:extLst>
          </c:dPt>
          <c:dPt>
            <c:idx val="1"/>
            <c:bubble3D val="0"/>
            <c:explosion val="0"/>
            <c:spPr>
              <a:solidFill>
                <a:srgbClr val="F7BE66"/>
              </a:solidFill>
            </c:spPr>
            <c:extLst>
              <c:ext xmlns:c16="http://schemas.microsoft.com/office/drawing/2014/chart" uri="{C3380CC4-5D6E-409C-BE32-E72D297353CC}">
                <c16:uniqueId val="{00000003-6F1C-4582-B775-28BE4EBBB836}"/>
              </c:ext>
            </c:extLst>
          </c:dPt>
          <c:dPt>
            <c:idx val="2"/>
            <c:bubble3D val="0"/>
            <c:explosion val="0"/>
            <c:spPr>
              <a:solidFill>
                <a:srgbClr val="CA3B41"/>
              </a:solidFill>
            </c:spPr>
            <c:extLst>
              <c:ext xmlns:c16="http://schemas.microsoft.com/office/drawing/2014/chart" uri="{C3380CC4-5D6E-409C-BE32-E72D297353CC}">
                <c16:uniqueId val="{00000005-6F1C-4582-B775-28BE4EBBB836}"/>
              </c:ext>
            </c:extLst>
          </c:dPt>
          <c:dPt>
            <c:idx val="3"/>
            <c:bubble3D val="0"/>
            <c:extLst>
              <c:ext xmlns:c16="http://schemas.microsoft.com/office/drawing/2014/chart" uri="{C3380CC4-5D6E-409C-BE32-E72D297353CC}">
                <c16:uniqueId val="{00000006-6F1C-4582-B775-28BE4EBBB836}"/>
              </c:ext>
            </c:extLst>
          </c:dPt>
          <c:dPt>
            <c:idx val="4"/>
            <c:bubble3D val="0"/>
            <c:extLst>
              <c:ext xmlns:c16="http://schemas.microsoft.com/office/drawing/2014/chart" uri="{C3380CC4-5D6E-409C-BE32-E72D297353CC}">
                <c16:uniqueId val="{00000007-6F1C-4582-B775-28BE4EBBB836}"/>
              </c:ext>
            </c:extLst>
          </c:dPt>
          <c:dPt>
            <c:idx val="5"/>
            <c:bubble3D val="0"/>
            <c:extLst>
              <c:ext xmlns:c16="http://schemas.microsoft.com/office/drawing/2014/chart" uri="{C3380CC4-5D6E-409C-BE32-E72D297353CC}">
                <c16:uniqueId val="{00000008-6F1C-4582-B775-28BE4EBBB836}"/>
              </c:ext>
            </c:extLst>
          </c:dPt>
          <c:dLbls>
            <c:dLbl>
              <c:idx val="0"/>
              <c:spPr>
                <a:noFill/>
                <a:ln>
                  <a:noFill/>
                </a:ln>
                <a:effectLst/>
              </c:spPr>
              <c:txPr>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6F1C-4582-B775-28BE4EBBB836}"/>
                </c:ext>
              </c:extLst>
            </c:dLbl>
            <c:dLbl>
              <c:idx val="1"/>
              <c:spPr>
                <a:noFill/>
                <a:ln>
                  <a:noFill/>
                </a:ln>
                <a:effectLst/>
              </c:spPr>
              <c:txPr>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6F1C-4582-B775-28BE4EBBB836}"/>
                </c:ext>
              </c:extLst>
            </c:dLbl>
            <c:dLbl>
              <c:idx val="2"/>
              <c:spPr>
                <a:noFill/>
                <a:ln>
                  <a:noFill/>
                </a:ln>
                <a:effectLst/>
              </c:spPr>
              <c:txPr>
                <a:bodyPr/>
                <a:lstStyle/>
                <a:p>
                  <a:pPr>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6F1C-4582-B775-28BE4EBBB836}"/>
                </c:ext>
              </c:extLst>
            </c:dLbl>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byComplexity!$A$4:$A$7</c:f>
              <c:strCache>
                <c:ptCount val="3"/>
                <c:pt idx="0">
                  <c:v>Low</c:v>
                </c:pt>
                <c:pt idx="1">
                  <c:v>Medium</c:v>
                </c:pt>
                <c:pt idx="2">
                  <c:v>High</c:v>
                </c:pt>
              </c:strCache>
            </c:strRef>
          </c:cat>
          <c:val>
            <c:numRef>
              <c:f>byComplexity!$B$4:$B$7</c:f>
              <c:numCache>
                <c:formatCode>0.0%</c:formatCode>
                <c:ptCount val="3"/>
                <c:pt idx="0">
                  <c:v>0.42912246865959497</c:v>
                </c:pt>
                <c:pt idx="1">
                  <c:v>0.49373191899710706</c:v>
                </c:pt>
                <c:pt idx="2">
                  <c:v>7.7145612343297976E-2</c:v>
                </c:pt>
              </c:numCache>
            </c:numRef>
          </c:val>
          <c:extLst>
            <c:ext xmlns:c16="http://schemas.microsoft.com/office/drawing/2014/chart" uri="{C3380CC4-5D6E-409C-BE32-E72D297353CC}">
              <c16:uniqueId val="{00000009-6F1C-4582-B775-28BE4EBBB836}"/>
            </c:ext>
          </c:extLst>
        </c:ser>
        <c:ser>
          <c:idx val="1"/>
          <c:order val="1"/>
          <c:tx>
            <c:strRef>
              <c:f>byComplexity!$C$3</c:f>
              <c:strCache>
                <c:ptCount val="1"/>
                <c:pt idx="0">
                  <c:v>Best Case (SP)</c:v>
                </c:pt>
              </c:strCache>
            </c:strRef>
          </c:tx>
          <c:cat>
            <c:strRef>
              <c:f>byComplexity!$A$4:$A$7</c:f>
              <c:strCache>
                <c:ptCount val="3"/>
                <c:pt idx="0">
                  <c:v>Low</c:v>
                </c:pt>
                <c:pt idx="1">
                  <c:v>Medium</c:v>
                </c:pt>
                <c:pt idx="2">
                  <c:v>High</c:v>
                </c:pt>
              </c:strCache>
            </c:strRef>
          </c:cat>
          <c:val>
            <c:numRef>
              <c:f>byComplexity!$C$4:$C$7</c:f>
              <c:numCache>
                <c:formatCode>#,##0.0</c:formatCode>
                <c:ptCount val="3"/>
                <c:pt idx="0">
                  <c:v>117.3</c:v>
                </c:pt>
                <c:pt idx="1">
                  <c:v>103.85</c:v>
                </c:pt>
                <c:pt idx="2">
                  <c:v>8</c:v>
                </c:pt>
              </c:numCache>
            </c:numRef>
          </c:val>
          <c:extLst>
            <c:ext xmlns:c16="http://schemas.microsoft.com/office/drawing/2014/chart" uri="{C3380CC4-5D6E-409C-BE32-E72D297353CC}">
              <c16:uniqueId val="{0000000A-6F1C-4582-B775-28BE4EBBB836}"/>
            </c:ext>
          </c:extLst>
        </c:ser>
        <c:ser>
          <c:idx val="2"/>
          <c:order val="2"/>
          <c:tx>
            <c:strRef>
              <c:f>byComplexity!$D$3</c:f>
              <c:strCache>
                <c:ptCount val="1"/>
                <c:pt idx="0">
                  <c:v>Most Likely (SP)</c:v>
                </c:pt>
              </c:strCache>
            </c:strRef>
          </c:tx>
          <c:cat>
            <c:strRef>
              <c:f>byComplexity!$A$4:$A$7</c:f>
              <c:strCache>
                <c:ptCount val="3"/>
                <c:pt idx="0">
                  <c:v>Low</c:v>
                </c:pt>
                <c:pt idx="1">
                  <c:v>Medium</c:v>
                </c:pt>
                <c:pt idx="2">
                  <c:v>High</c:v>
                </c:pt>
              </c:strCache>
            </c:strRef>
          </c:cat>
          <c:val>
            <c:numRef>
              <c:f>byComplexity!$D$4:$D$7</c:f>
              <c:numCache>
                <c:formatCode>#,##0.0</c:formatCode>
                <c:ptCount val="3"/>
                <c:pt idx="0">
                  <c:v>222.5</c:v>
                </c:pt>
                <c:pt idx="1">
                  <c:v>256</c:v>
                </c:pt>
                <c:pt idx="2">
                  <c:v>40</c:v>
                </c:pt>
              </c:numCache>
            </c:numRef>
          </c:val>
          <c:extLst>
            <c:ext xmlns:c16="http://schemas.microsoft.com/office/drawing/2014/chart" uri="{C3380CC4-5D6E-409C-BE32-E72D297353CC}">
              <c16:uniqueId val="{0000000B-6F1C-4582-B775-28BE4EBBB836}"/>
            </c:ext>
          </c:extLst>
        </c:ser>
        <c:ser>
          <c:idx val="3"/>
          <c:order val="3"/>
          <c:tx>
            <c:strRef>
              <c:f>byComplexity!$E$3</c:f>
              <c:strCache>
                <c:ptCount val="1"/>
                <c:pt idx="0">
                  <c:v>Worst Case (SP)</c:v>
                </c:pt>
              </c:strCache>
            </c:strRef>
          </c:tx>
          <c:cat>
            <c:strRef>
              <c:f>byComplexity!$A$4:$A$7</c:f>
              <c:strCache>
                <c:ptCount val="3"/>
                <c:pt idx="0">
                  <c:v>Low</c:v>
                </c:pt>
                <c:pt idx="1">
                  <c:v>Medium</c:v>
                </c:pt>
                <c:pt idx="2">
                  <c:v>High</c:v>
                </c:pt>
              </c:strCache>
            </c:strRef>
          </c:cat>
          <c:val>
            <c:numRef>
              <c:f>byComplexity!$E$4:$E$7</c:f>
              <c:numCache>
                <c:formatCode>#,##0.0</c:formatCode>
                <c:ptCount val="3"/>
                <c:pt idx="0">
                  <c:v>327.7</c:v>
                </c:pt>
                <c:pt idx="1">
                  <c:v>408.15</c:v>
                </c:pt>
                <c:pt idx="2">
                  <c:v>72</c:v>
                </c:pt>
              </c:numCache>
            </c:numRef>
          </c:val>
          <c:extLst>
            <c:ext xmlns:c16="http://schemas.microsoft.com/office/drawing/2014/chart" uri="{C3380CC4-5D6E-409C-BE32-E72D297353CC}">
              <c16:uniqueId val="{0000000C-6F1C-4582-B775-28BE4EBBB836}"/>
            </c:ext>
          </c:extLst>
        </c:ser>
        <c:dLbls>
          <c:showLegendKey val="0"/>
          <c:showVal val="0"/>
          <c:showCatName val="0"/>
          <c:showSerName val="0"/>
          <c:showPercent val="0"/>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586740</xdr:colOff>
      <xdr:row>13</xdr:row>
      <xdr:rowOff>3810</xdr:rowOff>
    </xdr:from>
    <xdr:to>
      <xdr:col>7</xdr:col>
      <xdr:colOff>22860</xdr:colOff>
      <xdr:row>30</xdr:row>
      <xdr:rowOff>91440</xdr:rowOff>
    </xdr:to>
    <xdr:graphicFrame macro="">
      <xdr:nvGraphicFramePr>
        <xdr:cNvPr id="2" name="Chart 1">
          <a:extLst>
            <a:ext uri="{FF2B5EF4-FFF2-40B4-BE49-F238E27FC236}">
              <a16:creationId xmlns:a16="http://schemas.microsoft.com/office/drawing/2014/main" id="{0D8C0D36-347E-4E43-86A7-B967870C3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518160</xdr:colOff>
      <xdr:row>13</xdr:row>
      <xdr:rowOff>0</xdr:rowOff>
    </xdr:from>
    <xdr:to>
      <xdr:col>13</xdr:col>
      <xdr:colOff>251460</xdr:colOff>
      <xdr:row>30</xdr:row>
      <xdr:rowOff>87630</xdr:rowOff>
    </xdr:to>
    <xdr:graphicFrame macro="">
      <xdr:nvGraphicFramePr>
        <xdr:cNvPr id="3" name="Chart 2">
          <a:extLst>
            <a:ext uri="{FF2B5EF4-FFF2-40B4-BE49-F238E27FC236}">
              <a16:creationId xmlns:a16="http://schemas.microsoft.com/office/drawing/2014/main" id="{DBC4F086-F540-4A8F-B292-959B0CC42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518160</xdr:colOff>
      <xdr:row>13</xdr:row>
      <xdr:rowOff>0</xdr:rowOff>
    </xdr:from>
    <xdr:to>
      <xdr:col>19</xdr:col>
      <xdr:colOff>281940</xdr:colOff>
      <xdr:row>30</xdr:row>
      <xdr:rowOff>87630</xdr:rowOff>
    </xdr:to>
    <xdr:graphicFrame macro="">
      <xdr:nvGraphicFramePr>
        <xdr:cNvPr id="4" name="Chart 3">
          <a:extLst>
            <a:ext uri="{FF2B5EF4-FFF2-40B4-BE49-F238E27FC236}">
              <a16:creationId xmlns:a16="http://schemas.microsoft.com/office/drawing/2014/main" id="{26AFE65D-D447-4DFC-B9E3-BCE04814F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20</xdr:col>
      <xdr:colOff>7620</xdr:colOff>
      <xdr:row>3</xdr:row>
      <xdr:rowOff>15240</xdr:rowOff>
    </xdr:from>
    <xdr:ext cx="3749438" cy="4145156"/>
    <xdr:pic>
      <xdr:nvPicPr>
        <xdr:cNvPr id="5" name="Picture 4">
          <a:extLst>
            <a:ext uri="{FF2B5EF4-FFF2-40B4-BE49-F238E27FC236}">
              <a16:creationId xmlns:a16="http://schemas.microsoft.com/office/drawing/2014/main" id="{B76107C1-AD75-4849-BBC2-9C4FDE9A52F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047220" y="563880"/>
          <a:ext cx="3749438" cy="4145156"/>
        </a:xfrm>
        <a:prstGeom prst="rect">
          <a:avLst/>
        </a:prstGeom>
      </xdr:spPr>
    </xdr:pic>
    <xdr:clientData/>
  </xdr:oneCellAnchor>
  <xdr:oneCellAnchor>
    <xdr:from>
      <xdr:col>26</xdr:col>
      <xdr:colOff>204626</xdr:colOff>
      <xdr:row>4</xdr:row>
      <xdr:rowOff>243835</xdr:rowOff>
    </xdr:from>
    <xdr:ext cx="304548" cy="3718441"/>
    <xdr:pic>
      <xdr:nvPicPr>
        <xdr:cNvPr id="6" name="Picture 5">
          <a:extLst>
            <a:ext uri="{FF2B5EF4-FFF2-40B4-BE49-F238E27FC236}">
              <a16:creationId xmlns:a16="http://schemas.microsoft.com/office/drawing/2014/main" id="{030E31BA-CBEB-4947-973E-CA43908C341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856106" y="914395"/>
          <a:ext cx="304548" cy="371844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6</xdr:col>
      <xdr:colOff>622300</xdr:colOff>
      <xdr:row>0</xdr:row>
      <xdr:rowOff>241300</xdr:rowOff>
    </xdr:from>
    <xdr:to>
      <xdr:col>19</xdr:col>
      <xdr:colOff>615950</xdr:colOff>
      <xdr:row>20</xdr:row>
      <xdr:rowOff>139700</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0.10053</cdr:x>
      <cdr:y>0.11183</cdr:y>
    </cdr:from>
    <cdr:to>
      <cdr:x>0.29959</cdr:x>
      <cdr:y>0.1895</cdr:y>
    </cdr:to>
    <cdr:sp macro="" textlink="">
      <cdr:nvSpPr>
        <cdr:cNvPr id="5" name="TextBox 1"/>
        <cdr:cNvSpPr txBox="1"/>
      </cdr:nvSpPr>
      <cdr:spPr>
        <a:xfrm xmlns:a="http://schemas.openxmlformats.org/drawingml/2006/main">
          <a:off x="787126" y="500647"/>
          <a:ext cx="1558550" cy="34771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100">
              <a:solidFill>
                <a:sysClr val="windowText" lastClr="000000"/>
              </a:solidFill>
              <a:latin typeface="Arial Narrow" panose="020B0606020202030204" pitchFamily="34" charset="0"/>
            </a:rPr>
            <a:t>Delivered Value</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1485900</xdr:colOff>
      <xdr:row>9</xdr:row>
      <xdr:rowOff>23811</xdr:rowOff>
    </xdr:from>
    <xdr:to>
      <xdr:col>4</xdr:col>
      <xdr:colOff>990600</xdr:colOff>
      <xdr:row>24</xdr:row>
      <xdr:rowOff>76199</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1943100</xdr:colOff>
      <xdr:row>8</xdr:row>
      <xdr:rowOff>4761</xdr:rowOff>
    </xdr:from>
    <xdr:to>
      <xdr:col>5</xdr:col>
      <xdr:colOff>0</xdr:colOff>
      <xdr:row>26</xdr:row>
      <xdr:rowOff>76200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ionescu/Downloads/Agile%20Estimation%20Template%20Existing%20Project%20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First"/>
      <sheetName val="Summary - Client"/>
      <sheetName val="Summary - Internal"/>
      <sheetName val="Features ABC Workshop"/>
      <sheetName val="Features Analysis"/>
      <sheetName val="Cone of Uncertainty"/>
      <sheetName val="byUncertainty"/>
      <sheetName val="byComplexity"/>
      <sheetName val="Definition of Done"/>
      <sheetName val="Assumptions"/>
      <sheetName val="Team Shape"/>
      <sheetName val="Ideal Sprint Financials"/>
      <sheetName val="Locations"/>
      <sheetName val="FY21 SCM - GBP"/>
      <sheetName val="Holiday Buffer"/>
      <sheetName val="FY21 Exchange Rates"/>
      <sheetName val="Lookup Tables"/>
      <sheetName val="ConeOfUncertainty Setup"/>
    </sheetNames>
    <sheetDataSet>
      <sheetData sheetId="0"/>
      <sheetData sheetId="1"/>
      <sheetData sheetId="2"/>
      <sheetData sheetId="3"/>
      <sheetData sheetId="4"/>
      <sheetData sheetId="5">
        <row r="14">
          <cell r="C14">
            <v>35</v>
          </cell>
        </row>
      </sheetData>
      <sheetData sheetId="6"/>
      <sheetData sheetId="7"/>
      <sheetData sheetId="8"/>
      <sheetData sheetId="9"/>
      <sheetData sheetId="10"/>
      <sheetData sheetId="11"/>
      <sheetData sheetId="12">
        <row r="1">
          <cell r="A1" t="str">
            <v>Country</v>
          </cell>
          <cell r="B1" t="str">
            <v>Code</v>
          </cell>
        </row>
        <row r="2">
          <cell r="A2" t="str">
            <v>Romania: Bucharest</v>
          </cell>
          <cell r="B2" t="str">
            <v>RB</v>
          </cell>
        </row>
        <row r="3">
          <cell r="A3" t="str">
            <v>Romania: Cluj-Napoca</v>
          </cell>
          <cell r="B3" t="str">
            <v>RC</v>
          </cell>
        </row>
        <row r="4">
          <cell r="A4" t="str">
            <v>Uruguay: Montevideo</v>
          </cell>
          <cell r="B4" t="str">
            <v>UR</v>
          </cell>
        </row>
        <row r="5">
          <cell r="A5" t="str">
            <v> Moldova: Chisinau  </v>
          </cell>
          <cell r="B5" t="str">
            <v>MD</v>
          </cell>
        </row>
        <row r="6">
          <cell r="A6" t="str">
            <v> Macedonia: Skopje  </v>
          </cell>
          <cell r="B6" t="str">
            <v>MK</v>
          </cell>
        </row>
        <row r="7">
          <cell r="A7" t="str">
            <v> Romania: Iasi </v>
          </cell>
          <cell r="B7" t="str">
            <v>RI</v>
          </cell>
        </row>
        <row r="8">
          <cell r="A8" t="str">
            <v> Romania: Timisoara </v>
          </cell>
          <cell r="B8" t="str">
            <v>RT</v>
          </cell>
        </row>
        <row r="9">
          <cell r="A9" t="str">
            <v> Romania: Pitesti  </v>
          </cell>
          <cell r="B9" t="str">
            <v>RP</v>
          </cell>
        </row>
        <row r="10">
          <cell r="A10" t="str">
            <v> Romania: Brasov  </v>
          </cell>
          <cell r="B10" t="str">
            <v>RB</v>
          </cell>
        </row>
        <row r="11">
          <cell r="A11" t="str">
            <v xml:space="preserve">Romania: Targu Mures </v>
          </cell>
          <cell r="B11" t="str">
            <v>RM</v>
          </cell>
        </row>
        <row r="12">
          <cell r="A12" t="str">
            <v>Bulgaria: Sofia  </v>
          </cell>
          <cell r="B12" t="str">
            <v>BG</v>
          </cell>
        </row>
        <row r="13">
          <cell r="A13" t="str">
            <v>Serbia: Belgrade  </v>
          </cell>
          <cell r="B13" t="str">
            <v>SB</v>
          </cell>
        </row>
        <row r="14">
          <cell r="A14" t="str">
            <v>Colombia: Bogota  </v>
          </cell>
          <cell r="B14" t="str">
            <v>CB</v>
          </cell>
        </row>
        <row r="15">
          <cell r="A15" t="str">
            <v>Colombia: Medellin </v>
          </cell>
          <cell r="B15" t="str">
            <v>CM</v>
          </cell>
        </row>
        <row r="16">
          <cell r="A16" t="str">
            <v>Argentina: Rosario </v>
          </cell>
          <cell r="B16" t="str">
            <v>AR</v>
          </cell>
        </row>
        <row r="17">
          <cell r="A17" t="str">
            <v>Argentina: Buenos Aires </v>
          </cell>
          <cell r="B17" t="str">
            <v>AB</v>
          </cell>
        </row>
        <row r="18">
          <cell r="A18" t="str">
            <v>Argentina: Parana </v>
          </cell>
          <cell r="B18" t="str">
            <v>AP</v>
          </cell>
        </row>
        <row r="19">
          <cell r="A19" t="str">
            <v>Argentina: Cordoba </v>
          </cell>
          <cell r="B19" t="str">
            <v>AC</v>
          </cell>
        </row>
        <row r="20">
          <cell r="A20" t="str">
            <v>Venezuela: Caracas </v>
          </cell>
          <cell r="B20" t="str">
            <v>VE</v>
          </cell>
        </row>
        <row r="21">
          <cell r="A21" t="str">
            <v>US: New York/Atlanta/Santa Cruz/New Jersey </v>
          </cell>
          <cell r="B21" t="str">
            <v>US</v>
          </cell>
        </row>
        <row r="22">
          <cell r="A22" t="str">
            <v>Germany: Frankfurt</v>
          </cell>
          <cell r="B22" t="str">
            <v>DE</v>
          </cell>
        </row>
        <row r="23">
          <cell r="A23" t="str">
            <v>Ireland: Dublin  </v>
          </cell>
          <cell r="B23" t="str">
            <v>IE</v>
          </cell>
        </row>
        <row r="24">
          <cell r="A24" t="str">
            <v>UK: London, Oxford  </v>
          </cell>
          <cell r="B24" t="str">
            <v>UK</v>
          </cell>
        </row>
        <row r="25">
          <cell r="A25" t="str">
            <v>Netherlands: Hilversum  </v>
          </cell>
          <cell r="B25" t="str">
            <v>NL</v>
          </cell>
        </row>
        <row r="26">
          <cell r="A26" t="str">
            <v>Denmark: Copenhagen  </v>
          </cell>
          <cell r="B26" t="str">
            <v>DK</v>
          </cell>
        </row>
        <row r="27">
          <cell r="A27" t="str">
            <v>UK: Zone 2 Locations  </v>
          </cell>
          <cell r="B27" t="str">
            <v>U2</v>
          </cell>
        </row>
      </sheetData>
      <sheetData sheetId="13">
        <row r="8">
          <cell r="A8" t="str">
            <v>RBBD</v>
          </cell>
          <cell r="B8" t="str">
            <v>RB</v>
          </cell>
          <cell r="C8" t="str">
            <v>BD</v>
          </cell>
          <cell r="D8">
            <v>680</v>
          </cell>
          <cell r="E8">
            <v>125</v>
          </cell>
          <cell r="F8">
            <v>276</v>
          </cell>
          <cell r="G8"/>
          <cell r="H8">
            <v>805</v>
          </cell>
          <cell r="I8">
            <v>1081</v>
          </cell>
        </row>
        <row r="9">
          <cell r="A9" t="str">
            <v>RBBM</v>
          </cell>
          <cell r="B9" t="str">
            <v>RB</v>
          </cell>
          <cell r="C9" t="str">
            <v>BM</v>
          </cell>
          <cell r="D9">
            <v>567</v>
          </cell>
          <cell r="E9">
            <v>132</v>
          </cell>
          <cell r="F9">
            <v>268</v>
          </cell>
          <cell r="G9"/>
          <cell r="H9">
            <v>699</v>
          </cell>
          <cell r="I9">
            <v>967</v>
          </cell>
        </row>
        <row r="10">
          <cell r="A10" t="str">
            <v>RBSM</v>
          </cell>
          <cell r="B10" t="str">
            <v>RB</v>
          </cell>
          <cell r="C10" t="str">
            <v>SM</v>
          </cell>
          <cell r="D10">
            <v>476</v>
          </cell>
          <cell r="E10">
            <v>80</v>
          </cell>
          <cell r="F10">
            <v>263</v>
          </cell>
          <cell r="G10"/>
          <cell r="H10">
            <v>556</v>
          </cell>
          <cell r="I10">
            <v>819</v>
          </cell>
        </row>
        <row r="11">
          <cell r="A11" t="str">
            <v>RBML</v>
          </cell>
          <cell r="B11" t="str">
            <v>RB</v>
          </cell>
          <cell r="C11" t="str">
            <v>ML</v>
          </cell>
          <cell r="D11">
            <v>408</v>
          </cell>
          <cell r="E11">
            <v>58</v>
          </cell>
          <cell r="F11">
            <v>253</v>
          </cell>
          <cell r="G11"/>
          <cell r="H11">
            <v>466</v>
          </cell>
          <cell r="I11">
            <v>719</v>
          </cell>
        </row>
        <row r="12">
          <cell r="A12" t="str">
            <v>RBSC</v>
          </cell>
          <cell r="B12" t="str">
            <v>RB</v>
          </cell>
          <cell r="C12" t="str">
            <v>SC</v>
          </cell>
          <cell r="D12">
            <v>317</v>
          </cell>
          <cell r="E12">
            <v>82</v>
          </cell>
          <cell r="F12">
            <v>251</v>
          </cell>
          <cell r="G12"/>
          <cell r="H12">
            <v>399</v>
          </cell>
          <cell r="I12">
            <v>650</v>
          </cell>
        </row>
        <row r="13">
          <cell r="A13" t="str">
            <v>RBCL</v>
          </cell>
          <cell r="B13" t="str">
            <v>RB</v>
          </cell>
          <cell r="C13" t="str">
            <v>CL</v>
          </cell>
          <cell r="D13">
            <v>270</v>
          </cell>
          <cell r="E13">
            <v>70</v>
          </cell>
          <cell r="F13">
            <v>247</v>
          </cell>
          <cell r="G13"/>
          <cell r="H13">
            <v>340</v>
          </cell>
          <cell r="I13">
            <v>587</v>
          </cell>
        </row>
        <row r="14">
          <cell r="A14" t="str">
            <v>RBSE</v>
          </cell>
          <cell r="B14" t="str">
            <v>RB</v>
          </cell>
          <cell r="C14" t="str">
            <v>SE</v>
          </cell>
          <cell r="D14">
            <v>235</v>
          </cell>
          <cell r="E14">
            <v>55</v>
          </cell>
          <cell r="F14">
            <v>242</v>
          </cell>
          <cell r="G14"/>
          <cell r="H14">
            <v>290</v>
          </cell>
          <cell r="I14">
            <v>532</v>
          </cell>
        </row>
        <row r="15">
          <cell r="A15" t="str">
            <v>RBEN</v>
          </cell>
          <cell r="B15" t="str">
            <v>RB</v>
          </cell>
          <cell r="C15" t="str">
            <v>EN</v>
          </cell>
          <cell r="D15">
            <v>188</v>
          </cell>
          <cell r="E15">
            <v>54</v>
          </cell>
          <cell r="F15">
            <v>239</v>
          </cell>
          <cell r="G15"/>
          <cell r="H15">
            <v>242</v>
          </cell>
          <cell r="I15">
            <v>481</v>
          </cell>
        </row>
        <row r="16">
          <cell r="A16" t="str">
            <v>RBST</v>
          </cell>
          <cell r="B16" t="str">
            <v>RB</v>
          </cell>
          <cell r="C16" t="str">
            <v>ST</v>
          </cell>
          <cell r="D16">
            <v>135</v>
          </cell>
          <cell r="E16">
            <v>69</v>
          </cell>
          <cell r="F16">
            <v>236</v>
          </cell>
          <cell r="G16"/>
          <cell r="H16">
            <v>204</v>
          </cell>
          <cell r="I16">
            <v>440</v>
          </cell>
        </row>
        <row r="17">
          <cell r="A17" t="str">
            <v>RBTL</v>
          </cell>
          <cell r="B17" t="str">
            <v>RB</v>
          </cell>
          <cell r="C17" t="str">
            <v>TL</v>
          </cell>
          <cell r="D17">
            <v>105</v>
          </cell>
          <cell r="E17">
            <v>72</v>
          </cell>
          <cell r="F17">
            <v>238</v>
          </cell>
          <cell r="G17"/>
          <cell r="H17">
            <v>177</v>
          </cell>
          <cell r="I17">
            <v>415</v>
          </cell>
        </row>
        <row r="18">
          <cell r="A18" t="str">
            <v>RBJT</v>
          </cell>
          <cell r="B18" t="str">
            <v>RB</v>
          </cell>
          <cell r="C18" t="str">
            <v>JT</v>
          </cell>
          <cell r="D18">
            <v>87</v>
          </cell>
          <cell r="E18">
            <v>69</v>
          </cell>
          <cell r="F18">
            <v>235</v>
          </cell>
          <cell r="G18"/>
          <cell r="H18">
            <v>156</v>
          </cell>
          <cell r="I18">
            <v>391</v>
          </cell>
        </row>
        <row r="19">
          <cell r="A19" t="str">
            <v>RBIN</v>
          </cell>
          <cell r="B19" t="str">
            <v>RB</v>
          </cell>
          <cell r="C19" t="str">
            <v>IN</v>
          </cell>
          <cell r="D19">
            <v>77</v>
          </cell>
          <cell r="E19">
            <v>79</v>
          </cell>
          <cell r="F19">
            <v>235</v>
          </cell>
          <cell r="G19"/>
          <cell r="H19">
            <v>156</v>
          </cell>
          <cell r="I19">
            <v>391</v>
          </cell>
        </row>
        <row r="20">
          <cell r="A20" t="str">
            <v>RBPP</v>
          </cell>
          <cell r="B20" t="str">
            <v>RB</v>
          </cell>
          <cell r="C20" t="str">
            <v>PP</v>
          </cell>
          <cell r="D20">
            <v>215</v>
          </cell>
          <cell r="E20">
            <v>28</v>
          </cell>
          <cell r="F20">
            <v>213</v>
          </cell>
          <cell r="G20"/>
          <cell r="H20">
            <v>243</v>
          </cell>
          <cell r="I20">
            <v>456</v>
          </cell>
        </row>
        <row r="21">
          <cell r="A21" t="str">
            <v>---- Romania: Cluj-Napoca</v>
          </cell>
          <cell r="C21" t="str">
            <v>---- Romania: Cluj-Napoca</v>
          </cell>
          <cell r="D21"/>
          <cell r="E21"/>
          <cell r="F21"/>
          <cell r="G21"/>
          <cell r="H21"/>
          <cell r="I21"/>
        </row>
        <row r="22">
          <cell r="A22" t="str">
            <v>RCBD</v>
          </cell>
          <cell r="B22" t="str">
            <v>RC</v>
          </cell>
          <cell r="C22" t="str">
            <v>BD</v>
          </cell>
          <cell r="D22">
            <v>563</v>
          </cell>
          <cell r="E22">
            <v>242</v>
          </cell>
          <cell r="F22">
            <v>276</v>
          </cell>
          <cell r="G22"/>
          <cell r="H22">
            <v>805</v>
          </cell>
          <cell r="I22">
            <v>1081</v>
          </cell>
        </row>
        <row r="23">
          <cell r="A23" t="str">
            <v>RCBM</v>
          </cell>
          <cell r="B23" t="str">
            <v>RC</v>
          </cell>
          <cell r="C23" t="str">
            <v>BM</v>
          </cell>
          <cell r="D23">
            <v>472</v>
          </cell>
          <cell r="E23">
            <v>227</v>
          </cell>
          <cell r="F23">
            <v>268</v>
          </cell>
          <cell r="G23"/>
          <cell r="H23">
            <v>699</v>
          </cell>
          <cell r="I23">
            <v>967</v>
          </cell>
        </row>
        <row r="24">
          <cell r="A24" t="str">
            <v>RCSM</v>
          </cell>
          <cell r="B24" t="str">
            <v>RC</v>
          </cell>
          <cell r="C24" t="str">
            <v>SM</v>
          </cell>
          <cell r="D24">
            <v>400</v>
          </cell>
          <cell r="E24">
            <v>156</v>
          </cell>
          <cell r="F24">
            <v>263</v>
          </cell>
          <cell r="G24"/>
          <cell r="H24">
            <v>556</v>
          </cell>
          <cell r="I24">
            <v>819</v>
          </cell>
        </row>
        <row r="25">
          <cell r="A25" t="str">
            <v>RCML</v>
          </cell>
          <cell r="B25" t="str">
            <v>RC</v>
          </cell>
          <cell r="C25" t="str">
            <v>ML</v>
          </cell>
          <cell r="D25">
            <v>329</v>
          </cell>
          <cell r="E25">
            <v>137</v>
          </cell>
          <cell r="F25">
            <v>253</v>
          </cell>
          <cell r="G25"/>
          <cell r="H25">
            <v>466</v>
          </cell>
          <cell r="I25">
            <v>719</v>
          </cell>
        </row>
        <row r="26">
          <cell r="A26" t="str">
            <v>RCSC</v>
          </cell>
          <cell r="B26" t="str">
            <v>RC</v>
          </cell>
          <cell r="C26" t="str">
            <v>SC</v>
          </cell>
          <cell r="D26">
            <v>261</v>
          </cell>
          <cell r="E26">
            <v>138</v>
          </cell>
          <cell r="F26">
            <v>251</v>
          </cell>
          <cell r="G26"/>
          <cell r="H26">
            <v>399</v>
          </cell>
          <cell r="I26">
            <v>650</v>
          </cell>
        </row>
        <row r="27">
          <cell r="A27" t="str">
            <v>RCCL</v>
          </cell>
          <cell r="B27" t="str">
            <v>RC</v>
          </cell>
          <cell r="C27" t="str">
            <v>CL</v>
          </cell>
          <cell r="D27">
            <v>232</v>
          </cell>
          <cell r="E27">
            <v>108</v>
          </cell>
          <cell r="F27">
            <v>247</v>
          </cell>
          <cell r="G27"/>
          <cell r="H27">
            <v>340</v>
          </cell>
          <cell r="I27">
            <v>587</v>
          </cell>
        </row>
        <row r="28">
          <cell r="A28" t="str">
            <v>RCSE</v>
          </cell>
          <cell r="B28" t="str">
            <v>RC</v>
          </cell>
          <cell r="C28" t="str">
            <v>SE</v>
          </cell>
          <cell r="D28">
            <v>194</v>
          </cell>
          <cell r="E28">
            <v>96</v>
          </cell>
          <cell r="F28">
            <v>242</v>
          </cell>
          <cell r="G28"/>
          <cell r="H28">
            <v>290</v>
          </cell>
          <cell r="I28">
            <v>532</v>
          </cell>
        </row>
        <row r="29">
          <cell r="A29" t="str">
            <v>RCEN</v>
          </cell>
          <cell r="B29" t="str">
            <v>RC</v>
          </cell>
          <cell r="C29" t="str">
            <v>EN</v>
          </cell>
          <cell r="D29">
            <v>160</v>
          </cell>
          <cell r="E29">
            <v>82</v>
          </cell>
          <cell r="F29">
            <v>239</v>
          </cell>
          <cell r="G29"/>
          <cell r="H29">
            <v>242</v>
          </cell>
          <cell r="I29">
            <v>481</v>
          </cell>
        </row>
        <row r="30">
          <cell r="A30" t="str">
            <v>RCST</v>
          </cell>
          <cell r="B30" t="str">
            <v>RC</v>
          </cell>
          <cell r="C30" t="str">
            <v>ST</v>
          </cell>
          <cell r="D30">
            <v>127</v>
          </cell>
          <cell r="E30">
            <v>77</v>
          </cell>
          <cell r="F30">
            <v>236</v>
          </cell>
          <cell r="G30"/>
          <cell r="H30">
            <v>204</v>
          </cell>
          <cell r="I30">
            <v>440</v>
          </cell>
        </row>
        <row r="31">
          <cell r="A31" t="str">
            <v>RCTL</v>
          </cell>
          <cell r="B31" t="str">
            <v>RC</v>
          </cell>
          <cell r="C31" t="str">
            <v>TL</v>
          </cell>
          <cell r="D31">
            <v>98</v>
          </cell>
          <cell r="E31">
            <v>79</v>
          </cell>
          <cell r="F31">
            <v>238</v>
          </cell>
          <cell r="G31"/>
          <cell r="H31">
            <v>177</v>
          </cell>
          <cell r="I31">
            <v>415</v>
          </cell>
        </row>
        <row r="32">
          <cell r="A32" t="str">
            <v>RCJT</v>
          </cell>
          <cell r="B32" t="str">
            <v>RC</v>
          </cell>
          <cell r="C32" t="str">
            <v>JT</v>
          </cell>
          <cell r="D32">
            <v>75</v>
          </cell>
          <cell r="E32">
            <v>81</v>
          </cell>
          <cell r="F32">
            <v>235</v>
          </cell>
          <cell r="G32"/>
          <cell r="H32">
            <v>156</v>
          </cell>
          <cell r="I32">
            <v>391</v>
          </cell>
        </row>
        <row r="33">
          <cell r="A33" t="str">
            <v>RCIN</v>
          </cell>
          <cell r="B33" t="str">
            <v>RC</v>
          </cell>
          <cell r="C33" t="str">
            <v>IN</v>
          </cell>
          <cell r="D33">
            <v>66</v>
          </cell>
          <cell r="E33">
            <v>90</v>
          </cell>
          <cell r="F33">
            <v>235</v>
          </cell>
          <cell r="G33"/>
          <cell r="H33">
            <v>156</v>
          </cell>
          <cell r="I33">
            <v>391</v>
          </cell>
        </row>
        <row r="34">
          <cell r="A34" t="str">
            <v>RCPP</v>
          </cell>
          <cell r="B34" t="str">
            <v>RC</v>
          </cell>
          <cell r="C34" t="str">
            <v>PP</v>
          </cell>
          <cell r="D34">
            <v>180</v>
          </cell>
          <cell r="E34">
            <v>63</v>
          </cell>
          <cell r="F34">
            <v>213</v>
          </cell>
          <cell r="G34"/>
          <cell r="H34">
            <v>243</v>
          </cell>
          <cell r="I34">
            <v>456</v>
          </cell>
        </row>
        <row r="35">
          <cell r="A35" t="str">
            <v/>
          </cell>
          <cell r="C35"/>
          <cell r="D35"/>
          <cell r="E35"/>
          <cell r="F35"/>
          <cell r="G35"/>
          <cell r="H35"/>
          <cell r="I35"/>
        </row>
        <row r="36">
          <cell r="A36" t="str">
            <v>---- Uruguay: Montevideo</v>
          </cell>
          <cell r="C36" t="str">
            <v>---- Uruguay: Montevideo</v>
          </cell>
          <cell r="D36"/>
          <cell r="E36"/>
          <cell r="F36"/>
          <cell r="G36"/>
          <cell r="H36"/>
          <cell r="I36"/>
        </row>
        <row r="37">
          <cell r="A37" t="str">
            <v>URBD</v>
          </cell>
          <cell r="B37" t="str">
            <v>UR</v>
          </cell>
          <cell r="C37" t="str">
            <v>BD</v>
          </cell>
          <cell r="D37">
            <v>735</v>
          </cell>
          <cell r="E37">
            <v>70</v>
          </cell>
          <cell r="F37">
            <v>276</v>
          </cell>
          <cell r="G37"/>
          <cell r="H37">
            <v>805</v>
          </cell>
          <cell r="I37">
            <v>1081</v>
          </cell>
        </row>
        <row r="38">
          <cell r="A38" t="str">
            <v>URBM</v>
          </cell>
          <cell r="B38" t="str">
            <v>UR</v>
          </cell>
          <cell r="C38" t="str">
            <v>BM</v>
          </cell>
          <cell r="D38">
            <v>638</v>
          </cell>
          <cell r="E38">
            <v>61</v>
          </cell>
          <cell r="F38">
            <v>268</v>
          </cell>
          <cell r="G38"/>
          <cell r="H38">
            <v>699</v>
          </cell>
          <cell r="I38">
            <v>967</v>
          </cell>
        </row>
        <row r="39">
          <cell r="A39" t="str">
            <v>URSM</v>
          </cell>
          <cell r="B39" t="str">
            <v>UR</v>
          </cell>
          <cell r="C39" t="str">
            <v>SM</v>
          </cell>
          <cell r="D39">
            <v>506</v>
          </cell>
          <cell r="E39">
            <v>50</v>
          </cell>
          <cell r="F39">
            <v>263</v>
          </cell>
          <cell r="G39"/>
          <cell r="H39">
            <v>556</v>
          </cell>
          <cell r="I39">
            <v>819</v>
          </cell>
        </row>
        <row r="40">
          <cell r="A40" t="str">
            <v>URML</v>
          </cell>
          <cell r="B40" t="str">
            <v>UR</v>
          </cell>
          <cell r="C40" t="str">
            <v>ML</v>
          </cell>
          <cell r="D40">
            <v>423</v>
          </cell>
          <cell r="E40">
            <v>43</v>
          </cell>
          <cell r="F40">
            <v>253</v>
          </cell>
          <cell r="G40"/>
          <cell r="H40">
            <v>466</v>
          </cell>
          <cell r="I40">
            <v>719</v>
          </cell>
        </row>
        <row r="41">
          <cell r="A41" t="str">
            <v>URSC</v>
          </cell>
          <cell r="B41" t="str">
            <v>UR</v>
          </cell>
          <cell r="C41" t="str">
            <v>SC</v>
          </cell>
          <cell r="D41">
            <v>362</v>
          </cell>
          <cell r="E41">
            <v>37</v>
          </cell>
          <cell r="F41">
            <v>251</v>
          </cell>
          <cell r="G41"/>
          <cell r="H41">
            <v>399</v>
          </cell>
          <cell r="I41">
            <v>650</v>
          </cell>
        </row>
        <row r="42">
          <cell r="A42" t="str">
            <v>URCL</v>
          </cell>
          <cell r="B42" t="str">
            <v>UR</v>
          </cell>
          <cell r="C42" t="str">
            <v>CL</v>
          </cell>
          <cell r="D42">
            <v>307</v>
          </cell>
          <cell r="E42">
            <v>33</v>
          </cell>
          <cell r="F42">
            <v>247</v>
          </cell>
          <cell r="G42"/>
          <cell r="H42">
            <v>340</v>
          </cell>
          <cell r="I42">
            <v>587</v>
          </cell>
        </row>
        <row r="43">
          <cell r="A43" t="str">
            <v>URSE</v>
          </cell>
          <cell r="B43" t="str">
            <v>UR</v>
          </cell>
          <cell r="C43" t="str">
            <v>SE</v>
          </cell>
          <cell r="D43">
            <v>263</v>
          </cell>
          <cell r="E43">
            <v>27</v>
          </cell>
          <cell r="F43">
            <v>242</v>
          </cell>
          <cell r="G43"/>
          <cell r="H43">
            <v>290</v>
          </cell>
          <cell r="I43">
            <v>532</v>
          </cell>
        </row>
        <row r="44">
          <cell r="A44" t="str">
            <v>UREN</v>
          </cell>
          <cell r="B44" t="str">
            <v>UR</v>
          </cell>
          <cell r="C44" t="str">
            <v>EN</v>
          </cell>
          <cell r="D44">
            <v>218</v>
          </cell>
          <cell r="E44">
            <v>24</v>
          </cell>
          <cell r="F44">
            <v>239</v>
          </cell>
          <cell r="G44"/>
          <cell r="H44">
            <v>242</v>
          </cell>
          <cell r="I44">
            <v>481</v>
          </cell>
        </row>
        <row r="45">
          <cell r="A45" t="str">
            <v>URST</v>
          </cell>
          <cell r="B45" t="str">
            <v>UR</v>
          </cell>
          <cell r="C45" t="str">
            <v>ST</v>
          </cell>
          <cell r="D45">
            <v>183</v>
          </cell>
          <cell r="E45">
            <v>21</v>
          </cell>
          <cell r="F45">
            <v>236</v>
          </cell>
          <cell r="G45"/>
          <cell r="H45">
            <v>204</v>
          </cell>
          <cell r="I45">
            <v>440</v>
          </cell>
        </row>
        <row r="46">
          <cell r="A46" t="str">
            <v>URTL</v>
          </cell>
          <cell r="B46" t="str">
            <v>UR</v>
          </cell>
          <cell r="C46" t="str">
            <v>TL</v>
          </cell>
          <cell r="D46">
            <v>158</v>
          </cell>
          <cell r="E46">
            <v>19</v>
          </cell>
          <cell r="F46">
            <v>238</v>
          </cell>
          <cell r="G46"/>
          <cell r="H46">
            <v>177</v>
          </cell>
          <cell r="I46">
            <v>415</v>
          </cell>
        </row>
        <row r="47">
          <cell r="A47" t="str">
            <v>URJT</v>
          </cell>
          <cell r="B47" t="str">
            <v>UR</v>
          </cell>
          <cell r="C47" t="str">
            <v>JT</v>
          </cell>
          <cell r="D47">
            <v>138</v>
          </cell>
          <cell r="E47">
            <v>18</v>
          </cell>
          <cell r="F47">
            <v>235</v>
          </cell>
          <cell r="G47"/>
          <cell r="H47">
            <v>156</v>
          </cell>
          <cell r="I47">
            <v>391</v>
          </cell>
        </row>
        <row r="48">
          <cell r="A48" t="str">
            <v>URIN</v>
          </cell>
          <cell r="B48" t="str">
            <v>UR</v>
          </cell>
          <cell r="C48" t="str">
            <v>IN</v>
          </cell>
          <cell r="D48">
            <v>138</v>
          </cell>
          <cell r="E48">
            <v>18</v>
          </cell>
          <cell r="F48">
            <v>235</v>
          </cell>
          <cell r="G48"/>
          <cell r="H48">
            <v>156</v>
          </cell>
          <cell r="I48">
            <v>391</v>
          </cell>
        </row>
        <row r="49">
          <cell r="A49" t="str">
            <v>URPP</v>
          </cell>
          <cell r="B49" t="str">
            <v>UR</v>
          </cell>
          <cell r="C49" t="str">
            <v>PP</v>
          </cell>
          <cell r="D49">
            <v>229</v>
          </cell>
          <cell r="E49">
            <v>14</v>
          </cell>
          <cell r="F49">
            <v>213</v>
          </cell>
          <cell r="G49"/>
          <cell r="H49">
            <v>243</v>
          </cell>
          <cell r="I49">
            <v>456</v>
          </cell>
        </row>
        <row r="50">
          <cell r="A50" t="str">
            <v/>
          </cell>
          <cell r="C50"/>
          <cell r="D50"/>
          <cell r="E50"/>
          <cell r="F50"/>
          <cell r="G50"/>
          <cell r="H50"/>
          <cell r="I50"/>
        </row>
        <row r="51">
          <cell r="A51" t="str">
            <v>**************   LACE Tier 2  ****************</v>
          </cell>
          <cell r="C51" t="str">
            <v>**************   LACE Tier 2  ****************</v>
          </cell>
          <cell r="D51"/>
          <cell r="E51"/>
          <cell r="F51"/>
          <cell r="G51"/>
          <cell r="H51"/>
          <cell r="I51"/>
        </row>
        <row r="52">
          <cell r="A52" t="str">
            <v>----  Moldova: Chisinau  ----</v>
          </cell>
          <cell r="C52" t="str">
            <v>----  Moldova: Chisinau  ----</v>
          </cell>
          <cell r="D52"/>
          <cell r="E52"/>
          <cell r="F52"/>
          <cell r="G52"/>
          <cell r="H52"/>
          <cell r="I52"/>
        </row>
        <row r="53">
          <cell r="A53" t="str">
            <v>MDBD</v>
          </cell>
          <cell r="B53" t="str">
            <v>MD</v>
          </cell>
          <cell r="C53" t="str">
            <v>BD</v>
          </cell>
          <cell r="D53">
            <v>371</v>
          </cell>
          <cell r="E53">
            <v>301</v>
          </cell>
          <cell r="F53">
            <v>334</v>
          </cell>
          <cell r="G53"/>
          <cell r="H53">
            <v>672</v>
          </cell>
          <cell r="I53">
            <v>1006</v>
          </cell>
        </row>
        <row r="54">
          <cell r="A54" t="str">
            <v>MDBM</v>
          </cell>
          <cell r="B54" t="str">
            <v>MD</v>
          </cell>
          <cell r="C54" t="str">
            <v>BM</v>
          </cell>
          <cell r="D54">
            <v>300</v>
          </cell>
          <cell r="E54">
            <v>297</v>
          </cell>
          <cell r="F54">
            <v>315</v>
          </cell>
          <cell r="G54"/>
          <cell r="H54">
            <v>597</v>
          </cell>
          <cell r="I54">
            <v>912</v>
          </cell>
        </row>
        <row r="55">
          <cell r="A55" t="str">
            <v>MDSM</v>
          </cell>
          <cell r="B55" t="str">
            <v>MD</v>
          </cell>
          <cell r="C55" t="str">
            <v>SM</v>
          </cell>
          <cell r="D55">
            <v>266</v>
          </cell>
          <cell r="E55">
            <v>210</v>
          </cell>
          <cell r="F55">
            <v>296</v>
          </cell>
          <cell r="G55"/>
          <cell r="H55">
            <v>476</v>
          </cell>
          <cell r="I55">
            <v>772</v>
          </cell>
        </row>
        <row r="56">
          <cell r="A56" t="str">
            <v>MDML</v>
          </cell>
          <cell r="B56" t="str">
            <v>MD</v>
          </cell>
          <cell r="C56" t="str">
            <v>ML</v>
          </cell>
          <cell r="D56">
            <v>220</v>
          </cell>
          <cell r="E56">
            <v>176</v>
          </cell>
          <cell r="F56">
            <v>283</v>
          </cell>
          <cell r="G56"/>
          <cell r="H56">
            <v>396</v>
          </cell>
          <cell r="I56">
            <v>679</v>
          </cell>
        </row>
        <row r="57">
          <cell r="A57" t="str">
            <v>MDSC</v>
          </cell>
          <cell r="B57" t="str">
            <v>MD</v>
          </cell>
          <cell r="C57" t="str">
            <v>SC</v>
          </cell>
          <cell r="D57">
            <v>167</v>
          </cell>
          <cell r="E57">
            <v>171</v>
          </cell>
          <cell r="F57">
            <v>276</v>
          </cell>
          <cell r="G57"/>
          <cell r="H57">
            <v>338</v>
          </cell>
          <cell r="I57">
            <v>614</v>
          </cell>
        </row>
        <row r="58">
          <cell r="A58" t="str">
            <v>MDCL</v>
          </cell>
          <cell r="B58" t="str">
            <v>MD</v>
          </cell>
          <cell r="C58" t="str">
            <v>CL</v>
          </cell>
          <cell r="D58">
            <v>144</v>
          </cell>
          <cell r="E58">
            <v>145</v>
          </cell>
          <cell r="F58">
            <v>266</v>
          </cell>
          <cell r="G58"/>
          <cell r="H58">
            <v>289</v>
          </cell>
          <cell r="I58">
            <v>555</v>
          </cell>
        </row>
        <row r="59">
          <cell r="A59" t="str">
            <v>MDSE</v>
          </cell>
          <cell r="B59" t="str">
            <v>MD</v>
          </cell>
          <cell r="C59" t="str">
            <v>SE</v>
          </cell>
          <cell r="D59">
            <v>130</v>
          </cell>
          <cell r="E59">
            <v>119</v>
          </cell>
          <cell r="F59">
            <v>259</v>
          </cell>
          <cell r="G59"/>
          <cell r="H59">
            <v>249</v>
          </cell>
          <cell r="I59">
            <v>508</v>
          </cell>
        </row>
        <row r="60">
          <cell r="A60" t="str">
            <v>MDEN</v>
          </cell>
          <cell r="B60" t="str">
            <v>MD</v>
          </cell>
          <cell r="C60" t="str">
            <v>EN</v>
          </cell>
          <cell r="D60">
            <v>105</v>
          </cell>
          <cell r="E60">
            <v>104</v>
          </cell>
          <cell r="F60">
            <v>252</v>
          </cell>
          <cell r="G60"/>
          <cell r="H60">
            <v>209</v>
          </cell>
          <cell r="I60">
            <v>461</v>
          </cell>
        </row>
        <row r="61">
          <cell r="A61" t="str">
            <v>MDST</v>
          </cell>
          <cell r="B61" t="str">
            <v>MD</v>
          </cell>
          <cell r="C61" t="str">
            <v>ST</v>
          </cell>
          <cell r="D61">
            <v>85</v>
          </cell>
          <cell r="E61">
            <v>87</v>
          </cell>
          <cell r="F61">
            <v>250</v>
          </cell>
          <cell r="G61"/>
          <cell r="H61">
            <v>172</v>
          </cell>
          <cell r="I61">
            <v>422</v>
          </cell>
        </row>
        <row r="62">
          <cell r="A62" t="str">
            <v>MDTL</v>
          </cell>
          <cell r="B62" t="str">
            <v>MD</v>
          </cell>
          <cell r="C62" t="str">
            <v>TL</v>
          </cell>
          <cell r="D62">
            <v>66</v>
          </cell>
          <cell r="E62">
            <v>85</v>
          </cell>
          <cell r="F62">
            <v>246</v>
          </cell>
          <cell r="G62"/>
          <cell r="H62">
            <v>151</v>
          </cell>
          <cell r="I62">
            <v>397</v>
          </cell>
        </row>
        <row r="63">
          <cell r="A63" t="str">
            <v>MDJT</v>
          </cell>
          <cell r="B63" t="str">
            <v>MD</v>
          </cell>
          <cell r="C63" t="str">
            <v>JT</v>
          </cell>
          <cell r="D63">
            <v>51</v>
          </cell>
          <cell r="E63">
            <v>82</v>
          </cell>
          <cell r="F63">
            <v>241</v>
          </cell>
          <cell r="G63"/>
          <cell r="H63">
            <v>133</v>
          </cell>
          <cell r="I63">
            <v>374</v>
          </cell>
        </row>
        <row r="64">
          <cell r="A64" t="str">
            <v>MDIN</v>
          </cell>
          <cell r="B64" t="str">
            <v>MD</v>
          </cell>
          <cell r="C64" t="str">
            <v>IN</v>
          </cell>
          <cell r="D64">
            <v>35</v>
          </cell>
          <cell r="E64">
            <v>98</v>
          </cell>
          <cell r="F64">
            <v>244</v>
          </cell>
          <cell r="G64"/>
          <cell r="H64">
            <v>133</v>
          </cell>
          <cell r="I64">
            <v>377</v>
          </cell>
        </row>
        <row r="65">
          <cell r="A65" t="str">
            <v>MDPP</v>
          </cell>
          <cell r="B65" t="str">
            <v>MD</v>
          </cell>
          <cell r="C65" t="str">
            <v>PP</v>
          </cell>
          <cell r="D65">
            <v>105</v>
          </cell>
          <cell r="E65">
            <v>138</v>
          </cell>
          <cell r="F65">
            <v>210</v>
          </cell>
          <cell r="G65"/>
          <cell r="H65">
            <v>243</v>
          </cell>
          <cell r="I65">
            <v>453</v>
          </cell>
        </row>
        <row r="66">
          <cell r="A66" t="str">
            <v>----  Macedonia: Skopje  ----</v>
          </cell>
          <cell r="C66" t="str">
            <v>----  Macedonia: Skopje  ----</v>
          </cell>
          <cell r="D66"/>
          <cell r="E66"/>
          <cell r="F66"/>
          <cell r="G66"/>
          <cell r="H66"/>
          <cell r="I66"/>
        </row>
        <row r="67">
          <cell r="A67" t="str">
            <v>MKBD</v>
          </cell>
          <cell r="B67" t="str">
            <v>MK</v>
          </cell>
          <cell r="C67" t="str">
            <v>BD</v>
          </cell>
          <cell r="D67">
            <v>469</v>
          </cell>
          <cell r="E67">
            <v>203</v>
          </cell>
          <cell r="F67">
            <v>334</v>
          </cell>
          <cell r="G67"/>
          <cell r="H67">
            <v>672</v>
          </cell>
          <cell r="I67">
            <v>1006</v>
          </cell>
        </row>
        <row r="68">
          <cell r="A68" t="str">
            <v>MKBM</v>
          </cell>
          <cell r="B68" t="str">
            <v>MK</v>
          </cell>
          <cell r="C68" t="str">
            <v>BM</v>
          </cell>
          <cell r="D68">
            <v>397</v>
          </cell>
          <cell r="E68">
            <v>200</v>
          </cell>
          <cell r="F68">
            <v>315</v>
          </cell>
          <cell r="G68"/>
          <cell r="H68">
            <v>597</v>
          </cell>
          <cell r="I68">
            <v>912</v>
          </cell>
        </row>
        <row r="69">
          <cell r="A69" t="str">
            <v>MKSM</v>
          </cell>
          <cell r="B69" t="str">
            <v>MK</v>
          </cell>
          <cell r="C69" t="str">
            <v>SM</v>
          </cell>
          <cell r="D69">
            <v>352</v>
          </cell>
          <cell r="E69">
            <v>124</v>
          </cell>
          <cell r="F69">
            <v>296</v>
          </cell>
          <cell r="G69"/>
          <cell r="H69">
            <v>476</v>
          </cell>
          <cell r="I69">
            <v>772</v>
          </cell>
        </row>
        <row r="70">
          <cell r="A70" t="str">
            <v>MKML</v>
          </cell>
          <cell r="B70" t="str">
            <v>MK</v>
          </cell>
          <cell r="C70" t="str">
            <v>ML</v>
          </cell>
          <cell r="D70">
            <v>292</v>
          </cell>
          <cell r="E70">
            <v>104</v>
          </cell>
          <cell r="F70">
            <v>283</v>
          </cell>
          <cell r="G70"/>
          <cell r="H70">
            <v>396</v>
          </cell>
          <cell r="I70">
            <v>679</v>
          </cell>
        </row>
        <row r="71">
          <cell r="A71" t="str">
            <v>MKSC</v>
          </cell>
          <cell r="B71" t="str">
            <v>MK</v>
          </cell>
          <cell r="C71" t="str">
            <v>SC</v>
          </cell>
          <cell r="D71">
            <v>239</v>
          </cell>
          <cell r="E71">
            <v>99</v>
          </cell>
          <cell r="F71">
            <v>276</v>
          </cell>
          <cell r="G71"/>
          <cell r="H71">
            <v>338</v>
          </cell>
          <cell r="I71">
            <v>614</v>
          </cell>
        </row>
        <row r="72">
          <cell r="A72" t="str">
            <v>MKCL</v>
          </cell>
          <cell r="B72" t="str">
            <v>MK</v>
          </cell>
          <cell r="C72" t="str">
            <v>CL</v>
          </cell>
          <cell r="D72">
            <v>180</v>
          </cell>
          <cell r="E72">
            <v>109</v>
          </cell>
          <cell r="F72">
            <v>266</v>
          </cell>
          <cell r="G72"/>
          <cell r="H72">
            <v>289</v>
          </cell>
          <cell r="I72">
            <v>555</v>
          </cell>
        </row>
        <row r="73">
          <cell r="A73" t="str">
            <v>MKSE</v>
          </cell>
          <cell r="B73" t="str">
            <v>MK</v>
          </cell>
          <cell r="C73" t="str">
            <v>SE</v>
          </cell>
          <cell r="D73">
            <v>156</v>
          </cell>
          <cell r="E73">
            <v>93</v>
          </cell>
          <cell r="F73">
            <v>259</v>
          </cell>
          <cell r="G73"/>
          <cell r="H73">
            <v>249</v>
          </cell>
          <cell r="I73">
            <v>508</v>
          </cell>
        </row>
        <row r="74">
          <cell r="A74" t="str">
            <v>MKEN</v>
          </cell>
          <cell r="B74" t="str">
            <v>MK</v>
          </cell>
          <cell r="C74" t="str">
            <v>EN</v>
          </cell>
          <cell r="D74">
            <v>131</v>
          </cell>
          <cell r="E74">
            <v>78</v>
          </cell>
          <cell r="F74">
            <v>252</v>
          </cell>
          <cell r="G74"/>
          <cell r="H74">
            <v>209</v>
          </cell>
          <cell r="I74">
            <v>461</v>
          </cell>
        </row>
        <row r="75">
          <cell r="A75" t="str">
            <v>MKST</v>
          </cell>
          <cell r="B75" t="str">
            <v>MK</v>
          </cell>
          <cell r="C75" t="str">
            <v>ST</v>
          </cell>
          <cell r="D75">
            <v>87</v>
          </cell>
          <cell r="E75">
            <v>85</v>
          </cell>
          <cell r="F75">
            <v>250</v>
          </cell>
          <cell r="G75"/>
          <cell r="H75">
            <v>172</v>
          </cell>
          <cell r="I75">
            <v>422</v>
          </cell>
        </row>
        <row r="76">
          <cell r="A76" t="str">
            <v>MKTL</v>
          </cell>
          <cell r="B76" t="str">
            <v>MK</v>
          </cell>
          <cell r="C76" t="str">
            <v>TL</v>
          </cell>
          <cell r="D76">
            <v>61</v>
          </cell>
          <cell r="E76">
            <v>90</v>
          </cell>
          <cell r="F76">
            <v>246</v>
          </cell>
          <cell r="G76"/>
          <cell r="H76">
            <v>151</v>
          </cell>
          <cell r="I76">
            <v>397</v>
          </cell>
        </row>
        <row r="77">
          <cell r="A77" t="str">
            <v>MKJT</v>
          </cell>
          <cell r="B77" t="str">
            <v>MK</v>
          </cell>
          <cell r="C77" t="str">
            <v>JT</v>
          </cell>
          <cell r="D77">
            <v>45</v>
          </cell>
          <cell r="E77">
            <v>88</v>
          </cell>
          <cell r="F77">
            <v>241</v>
          </cell>
          <cell r="G77"/>
          <cell r="H77">
            <v>133</v>
          </cell>
          <cell r="I77">
            <v>374</v>
          </cell>
        </row>
        <row r="78">
          <cell r="A78" t="str">
            <v>MKIN</v>
          </cell>
          <cell r="B78" t="str">
            <v>MK</v>
          </cell>
          <cell r="C78" t="str">
            <v>IN</v>
          </cell>
          <cell r="D78">
            <v>45</v>
          </cell>
          <cell r="E78">
            <v>88</v>
          </cell>
          <cell r="F78">
            <v>244</v>
          </cell>
          <cell r="G78"/>
          <cell r="H78">
            <v>133</v>
          </cell>
          <cell r="I78">
            <v>377</v>
          </cell>
        </row>
        <row r="79">
          <cell r="A79" t="str">
            <v>MKPP</v>
          </cell>
          <cell r="B79" t="str">
            <v>MK</v>
          </cell>
          <cell r="C79" t="str">
            <v>PP</v>
          </cell>
          <cell r="D79">
            <v>135</v>
          </cell>
          <cell r="E79">
            <v>108</v>
          </cell>
          <cell r="F79">
            <v>210</v>
          </cell>
          <cell r="G79"/>
          <cell r="H79">
            <v>243</v>
          </cell>
          <cell r="I79">
            <v>453</v>
          </cell>
        </row>
        <row r="80">
          <cell r="A80" t="str">
            <v>----  Romania: Iasi ----</v>
          </cell>
          <cell r="C80" t="str">
            <v>----  Romania: Iasi ----</v>
          </cell>
          <cell r="D80"/>
          <cell r="E80"/>
          <cell r="F80"/>
          <cell r="G80"/>
          <cell r="H80"/>
          <cell r="I80"/>
        </row>
        <row r="81">
          <cell r="A81" t="str">
            <v>RIBD</v>
          </cell>
          <cell r="B81" t="str">
            <v>RI</v>
          </cell>
          <cell r="C81" t="str">
            <v>BD</v>
          </cell>
          <cell r="D81">
            <v>521</v>
          </cell>
          <cell r="E81">
            <v>151</v>
          </cell>
          <cell r="F81">
            <v>334</v>
          </cell>
          <cell r="G81"/>
          <cell r="H81">
            <v>672</v>
          </cell>
          <cell r="I81">
            <v>1006</v>
          </cell>
        </row>
        <row r="82">
          <cell r="A82" t="str">
            <v>RIBM</v>
          </cell>
          <cell r="B82" t="str">
            <v>RI</v>
          </cell>
          <cell r="C82" t="str">
            <v>BM</v>
          </cell>
          <cell r="D82">
            <v>442</v>
          </cell>
          <cell r="E82">
            <v>155</v>
          </cell>
          <cell r="F82">
            <v>315</v>
          </cell>
          <cell r="G82"/>
          <cell r="H82">
            <v>597</v>
          </cell>
          <cell r="I82">
            <v>912</v>
          </cell>
        </row>
        <row r="83">
          <cell r="A83" t="str">
            <v>RISM</v>
          </cell>
          <cell r="B83" t="str">
            <v>RI</v>
          </cell>
          <cell r="C83" t="str">
            <v>SM</v>
          </cell>
          <cell r="D83">
            <v>373</v>
          </cell>
          <cell r="E83">
            <v>103</v>
          </cell>
          <cell r="F83">
            <v>296</v>
          </cell>
          <cell r="G83"/>
          <cell r="H83">
            <v>476</v>
          </cell>
          <cell r="I83">
            <v>772</v>
          </cell>
        </row>
        <row r="84">
          <cell r="A84" t="str">
            <v>RIML</v>
          </cell>
          <cell r="B84" t="str">
            <v>RI</v>
          </cell>
          <cell r="C84" t="str">
            <v>ML</v>
          </cell>
          <cell r="D84">
            <v>327</v>
          </cell>
          <cell r="E84">
            <v>69</v>
          </cell>
          <cell r="F84">
            <v>283</v>
          </cell>
          <cell r="G84"/>
          <cell r="H84">
            <v>396</v>
          </cell>
          <cell r="I84">
            <v>679</v>
          </cell>
        </row>
        <row r="85">
          <cell r="A85" t="str">
            <v>RISC</v>
          </cell>
          <cell r="B85" t="str">
            <v>RI</v>
          </cell>
          <cell r="C85" t="str">
            <v>SC</v>
          </cell>
          <cell r="D85">
            <v>259</v>
          </cell>
          <cell r="E85">
            <v>79</v>
          </cell>
          <cell r="F85">
            <v>276</v>
          </cell>
          <cell r="G85"/>
          <cell r="H85">
            <v>338</v>
          </cell>
          <cell r="I85">
            <v>614</v>
          </cell>
        </row>
        <row r="86">
          <cell r="A86" t="str">
            <v>RICL</v>
          </cell>
          <cell r="B86" t="str">
            <v>RI</v>
          </cell>
          <cell r="C86" t="str">
            <v>CL</v>
          </cell>
          <cell r="D86">
            <v>229</v>
          </cell>
          <cell r="E86">
            <v>60</v>
          </cell>
          <cell r="F86">
            <v>266</v>
          </cell>
          <cell r="G86"/>
          <cell r="H86">
            <v>289</v>
          </cell>
          <cell r="I86">
            <v>555</v>
          </cell>
        </row>
        <row r="87">
          <cell r="A87" t="str">
            <v>RISE</v>
          </cell>
          <cell r="B87" t="str">
            <v>RI</v>
          </cell>
          <cell r="C87" t="str">
            <v>SE</v>
          </cell>
          <cell r="D87">
            <v>185</v>
          </cell>
          <cell r="E87">
            <v>64</v>
          </cell>
          <cell r="F87">
            <v>259</v>
          </cell>
          <cell r="G87"/>
          <cell r="H87">
            <v>249</v>
          </cell>
          <cell r="I87">
            <v>508</v>
          </cell>
        </row>
        <row r="88">
          <cell r="A88" t="str">
            <v>RIEN</v>
          </cell>
          <cell r="B88" t="str">
            <v>RI</v>
          </cell>
          <cell r="C88" t="str">
            <v>EN</v>
          </cell>
          <cell r="D88">
            <v>144</v>
          </cell>
          <cell r="E88">
            <v>65</v>
          </cell>
          <cell r="F88">
            <v>252</v>
          </cell>
          <cell r="G88"/>
          <cell r="H88">
            <v>209</v>
          </cell>
          <cell r="I88">
            <v>461</v>
          </cell>
        </row>
        <row r="89">
          <cell r="A89" t="str">
            <v>RIST</v>
          </cell>
          <cell r="B89" t="str">
            <v>RI</v>
          </cell>
          <cell r="C89" t="str">
            <v>ST</v>
          </cell>
          <cell r="D89">
            <v>118</v>
          </cell>
          <cell r="E89">
            <v>54</v>
          </cell>
          <cell r="F89">
            <v>250</v>
          </cell>
          <cell r="G89"/>
          <cell r="H89">
            <v>172</v>
          </cell>
          <cell r="I89">
            <v>422</v>
          </cell>
        </row>
        <row r="90">
          <cell r="A90" t="str">
            <v>RITL</v>
          </cell>
          <cell r="B90" t="str">
            <v>RI</v>
          </cell>
          <cell r="C90" t="str">
            <v>TL</v>
          </cell>
          <cell r="D90">
            <v>100</v>
          </cell>
          <cell r="E90">
            <v>51</v>
          </cell>
          <cell r="F90">
            <v>246</v>
          </cell>
          <cell r="G90"/>
          <cell r="H90">
            <v>151</v>
          </cell>
          <cell r="I90">
            <v>397</v>
          </cell>
        </row>
        <row r="91">
          <cell r="A91" t="str">
            <v>RIJT</v>
          </cell>
          <cell r="B91" t="str">
            <v>RI</v>
          </cell>
          <cell r="C91" t="str">
            <v>JT</v>
          </cell>
          <cell r="D91">
            <v>77</v>
          </cell>
          <cell r="E91">
            <v>56</v>
          </cell>
          <cell r="F91">
            <v>241</v>
          </cell>
          <cell r="G91"/>
          <cell r="H91">
            <v>133</v>
          </cell>
          <cell r="I91">
            <v>374</v>
          </cell>
        </row>
        <row r="92">
          <cell r="A92" t="str">
            <v>RIIN</v>
          </cell>
          <cell r="B92" t="str">
            <v>RI</v>
          </cell>
          <cell r="C92" t="str">
            <v>IN</v>
          </cell>
          <cell r="D92">
            <v>71</v>
          </cell>
          <cell r="E92">
            <v>62</v>
          </cell>
          <cell r="F92">
            <v>244</v>
          </cell>
          <cell r="G92"/>
          <cell r="H92">
            <v>133</v>
          </cell>
          <cell r="I92">
            <v>377</v>
          </cell>
        </row>
        <row r="93">
          <cell r="A93" t="str">
            <v>RIPP</v>
          </cell>
          <cell r="B93" t="str">
            <v>RI</v>
          </cell>
          <cell r="C93" t="str">
            <v>PP</v>
          </cell>
          <cell r="D93">
            <v>169</v>
          </cell>
          <cell r="E93">
            <v>74</v>
          </cell>
          <cell r="F93">
            <v>210</v>
          </cell>
          <cell r="G93"/>
          <cell r="H93">
            <v>243</v>
          </cell>
          <cell r="I93">
            <v>453</v>
          </cell>
        </row>
        <row r="94">
          <cell r="A94" t="str">
            <v>----  Romania: Timisoara ----</v>
          </cell>
          <cell r="C94" t="str">
            <v>----  Romania: Timisoara ----</v>
          </cell>
          <cell r="D94"/>
          <cell r="E94"/>
          <cell r="F94"/>
          <cell r="G94"/>
          <cell r="H94"/>
          <cell r="I94"/>
        </row>
        <row r="95">
          <cell r="A95" t="str">
            <v>RTBD</v>
          </cell>
          <cell r="B95" t="str">
            <v>RT</v>
          </cell>
          <cell r="C95" t="str">
            <v>BD</v>
          </cell>
          <cell r="D95">
            <v>537</v>
          </cell>
          <cell r="E95">
            <v>135</v>
          </cell>
          <cell r="F95">
            <v>334</v>
          </cell>
          <cell r="G95"/>
          <cell r="H95">
            <v>705.6</v>
          </cell>
          <cell r="I95">
            <v>1006</v>
          </cell>
        </row>
        <row r="96">
          <cell r="A96" t="str">
            <v>RTBM</v>
          </cell>
          <cell r="B96" t="str">
            <v>RT</v>
          </cell>
          <cell r="C96" t="str">
            <v>BM</v>
          </cell>
          <cell r="D96">
            <v>456</v>
          </cell>
          <cell r="E96">
            <v>141</v>
          </cell>
          <cell r="F96">
            <v>315</v>
          </cell>
          <cell r="G96"/>
          <cell r="H96">
            <v>626.85</v>
          </cell>
          <cell r="I96">
            <v>912</v>
          </cell>
        </row>
        <row r="97">
          <cell r="A97" t="str">
            <v>RTSM</v>
          </cell>
          <cell r="B97" t="str">
            <v>RT</v>
          </cell>
          <cell r="C97" t="str">
            <v>SM</v>
          </cell>
          <cell r="D97">
            <v>385</v>
          </cell>
          <cell r="E97">
            <v>91</v>
          </cell>
          <cell r="F97">
            <v>296</v>
          </cell>
          <cell r="G97"/>
          <cell r="H97">
            <v>499.8</v>
          </cell>
          <cell r="I97">
            <v>772</v>
          </cell>
        </row>
        <row r="98">
          <cell r="A98" t="str">
            <v>RTML</v>
          </cell>
          <cell r="B98" t="str">
            <v>RT</v>
          </cell>
          <cell r="C98" t="str">
            <v>ML</v>
          </cell>
          <cell r="D98">
            <v>337</v>
          </cell>
          <cell r="E98">
            <v>59</v>
          </cell>
          <cell r="F98">
            <v>283</v>
          </cell>
          <cell r="G98"/>
          <cell r="H98">
            <v>396</v>
          </cell>
          <cell r="I98">
            <v>679</v>
          </cell>
        </row>
        <row r="99">
          <cell r="A99" t="str">
            <v>RTSC</v>
          </cell>
          <cell r="B99" t="str">
            <v>RT</v>
          </cell>
          <cell r="C99" t="str">
            <v>SC</v>
          </cell>
          <cell r="D99">
            <v>267</v>
          </cell>
          <cell r="E99">
            <v>71</v>
          </cell>
          <cell r="F99">
            <v>276</v>
          </cell>
          <cell r="G99"/>
          <cell r="H99">
            <v>354.90000000000003</v>
          </cell>
          <cell r="I99">
            <v>614</v>
          </cell>
        </row>
        <row r="100">
          <cell r="A100" t="str">
            <v>RTCL</v>
          </cell>
          <cell r="B100" t="str">
            <v>RT</v>
          </cell>
          <cell r="C100" t="str">
            <v>CL</v>
          </cell>
          <cell r="D100">
            <v>236</v>
          </cell>
          <cell r="E100">
            <v>53</v>
          </cell>
          <cell r="F100">
            <v>266</v>
          </cell>
          <cell r="G100"/>
          <cell r="H100">
            <v>303.45</v>
          </cell>
          <cell r="I100">
            <v>555</v>
          </cell>
        </row>
        <row r="101">
          <cell r="A101" t="str">
            <v>RTSE</v>
          </cell>
          <cell r="B101" t="str">
            <v>RT</v>
          </cell>
          <cell r="C101" t="str">
            <v>SE</v>
          </cell>
          <cell r="D101">
            <v>191</v>
          </cell>
          <cell r="E101">
            <v>58</v>
          </cell>
          <cell r="F101">
            <v>259</v>
          </cell>
          <cell r="G101"/>
          <cell r="H101">
            <v>261.45</v>
          </cell>
          <cell r="I101">
            <v>508</v>
          </cell>
        </row>
        <row r="102">
          <cell r="A102" t="str">
            <v>RTEN</v>
          </cell>
          <cell r="B102" t="str">
            <v>RT</v>
          </cell>
          <cell r="C102" t="str">
            <v>EN</v>
          </cell>
          <cell r="D102">
            <v>148</v>
          </cell>
          <cell r="E102">
            <v>61</v>
          </cell>
          <cell r="F102">
            <v>252</v>
          </cell>
          <cell r="G102"/>
          <cell r="H102">
            <v>219.45000000000002</v>
          </cell>
          <cell r="I102">
            <v>461</v>
          </cell>
        </row>
        <row r="103">
          <cell r="A103" t="str">
            <v>RTST</v>
          </cell>
          <cell r="B103" t="str">
            <v>RT</v>
          </cell>
          <cell r="C103" t="str">
            <v>ST</v>
          </cell>
          <cell r="D103">
            <v>122</v>
          </cell>
          <cell r="E103">
            <v>50</v>
          </cell>
          <cell r="F103">
            <v>250</v>
          </cell>
          <cell r="G103"/>
          <cell r="H103">
            <v>180.6</v>
          </cell>
          <cell r="I103">
            <v>422</v>
          </cell>
        </row>
        <row r="104">
          <cell r="A104" t="str">
            <v>RTTL</v>
          </cell>
          <cell r="B104" t="str">
            <v>RT</v>
          </cell>
          <cell r="C104" t="str">
            <v>TL</v>
          </cell>
          <cell r="D104">
            <v>103</v>
          </cell>
          <cell r="E104">
            <v>48</v>
          </cell>
          <cell r="F104">
            <v>246</v>
          </cell>
          <cell r="G104"/>
          <cell r="H104">
            <v>158.55000000000001</v>
          </cell>
          <cell r="I104">
            <v>397</v>
          </cell>
        </row>
        <row r="105">
          <cell r="A105" t="str">
            <v>RTJT</v>
          </cell>
          <cell r="B105" t="str">
            <v>RT</v>
          </cell>
          <cell r="C105" t="str">
            <v>JT</v>
          </cell>
          <cell r="D105">
            <v>80</v>
          </cell>
          <cell r="E105">
            <v>53</v>
          </cell>
          <cell r="F105">
            <v>241</v>
          </cell>
          <cell r="G105"/>
          <cell r="H105">
            <v>139.65</v>
          </cell>
          <cell r="I105">
            <v>374</v>
          </cell>
        </row>
        <row r="106">
          <cell r="A106" t="str">
            <v>RTIN</v>
          </cell>
          <cell r="B106" t="str">
            <v>RT</v>
          </cell>
          <cell r="C106" t="str">
            <v>IN</v>
          </cell>
          <cell r="D106">
            <v>73</v>
          </cell>
          <cell r="E106">
            <v>60</v>
          </cell>
          <cell r="F106">
            <v>244</v>
          </cell>
          <cell r="G106"/>
          <cell r="H106">
            <v>139.65</v>
          </cell>
          <cell r="I106">
            <v>377</v>
          </cell>
        </row>
        <row r="107">
          <cell r="A107" t="str">
            <v>RTPP</v>
          </cell>
          <cell r="B107" t="str">
            <v>RT</v>
          </cell>
          <cell r="C107" t="str">
            <v>PP</v>
          </cell>
          <cell r="D107">
            <v>184</v>
          </cell>
          <cell r="E107">
            <v>59</v>
          </cell>
          <cell r="F107">
            <v>210</v>
          </cell>
          <cell r="G107"/>
          <cell r="H107">
            <v>255.15</v>
          </cell>
          <cell r="I107">
            <v>453</v>
          </cell>
        </row>
        <row r="108">
          <cell r="A108" t="str">
            <v>----  Romania: Pitesti  ----</v>
          </cell>
          <cell r="C108" t="str">
            <v>----  Romania: Pitesti  ----</v>
          </cell>
          <cell r="D108"/>
          <cell r="E108"/>
          <cell r="F108"/>
          <cell r="G108"/>
          <cell r="H108"/>
          <cell r="I108"/>
        </row>
        <row r="109">
          <cell r="A109" t="str">
            <v>RPBD</v>
          </cell>
          <cell r="B109" t="str">
            <v>RP</v>
          </cell>
          <cell r="C109" t="str">
            <v>BD</v>
          </cell>
          <cell r="D109">
            <v>524</v>
          </cell>
          <cell r="E109">
            <v>148</v>
          </cell>
          <cell r="F109">
            <v>334</v>
          </cell>
          <cell r="G109"/>
          <cell r="H109">
            <v>672</v>
          </cell>
          <cell r="I109">
            <v>1006</v>
          </cell>
        </row>
        <row r="110">
          <cell r="A110" t="str">
            <v>RPBM</v>
          </cell>
          <cell r="B110" t="str">
            <v>RP</v>
          </cell>
          <cell r="C110" t="str">
            <v>BM</v>
          </cell>
          <cell r="D110">
            <v>443</v>
          </cell>
          <cell r="E110">
            <v>154</v>
          </cell>
          <cell r="F110">
            <v>315</v>
          </cell>
          <cell r="G110"/>
          <cell r="H110">
            <v>597</v>
          </cell>
          <cell r="I110">
            <v>912</v>
          </cell>
        </row>
        <row r="111">
          <cell r="A111" t="str">
            <v>RPSM</v>
          </cell>
          <cell r="B111" t="str">
            <v>RP</v>
          </cell>
          <cell r="C111" t="str">
            <v>SM</v>
          </cell>
          <cell r="D111">
            <v>393</v>
          </cell>
          <cell r="E111">
            <v>83</v>
          </cell>
          <cell r="F111">
            <v>296</v>
          </cell>
          <cell r="G111"/>
          <cell r="H111">
            <v>476</v>
          </cell>
          <cell r="I111">
            <v>772</v>
          </cell>
        </row>
        <row r="112">
          <cell r="A112" t="str">
            <v>RPML</v>
          </cell>
          <cell r="B112" t="str">
            <v>RP</v>
          </cell>
          <cell r="C112" t="str">
            <v>ML</v>
          </cell>
          <cell r="D112">
            <v>325</v>
          </cell>
          <cell r="E112">
            <v>71</v>
          </cell>
          <cell r="F112">
            <v>283</v>
          </cell>
          <cell r="G112"/>
          <cell r="H112">
            <v>396</v>
          </cell>
          <cell r="I112">
            <v>679</v>
          </cell>
        </row>
        <row r="113">
          <cell r="A113" t="str">
            <v>RPSC</v>
          </cell>
          <cell r="B113" t="str">
            <v>RP</v>
          </cell>
          <cell r="C113" t="str">
            <v>SC</v>
          </cell>
          <cell r="D113">
            <v>267</v>
          </cell>
          <cell r="E113">
            <v>71</v>
          </cell>
          <cell r="F113">
            <v>276</v>
          </cell>
          <cell r="G113"/>
          <cell r="H113">
            <v>338</v>
          </cell>
          <cell r="I113">
            <v>614</v>
          </cell>
        </row>
        <row r="114">
          <cell r="A114" t="str">
            <v>RPCL</v>
          </cell>
          <cell r="B114" t="str">
            <v>RP</v>
          </cell>
          <cell r="C114" t="str">
            <v>CL</v>
          </cell>
          <cell r="D114">
            <v>200</v>
          </cell>
          <cell r="E114">
            <v>89</v>
          </cell>
          <cell r="F114">
            <v>266</v>
          </cell>
          <cell r="G114"/>
          <cell r="H114">
            <v>289</v>
          </cell>
          <cell r="I114">
            <v>555</v>
          </cell>
        </row>
        <row r="115">
          <cell r="A115" t="str">
            <v>RPSE</v>
          </cell>
          <cell r="B115" t="str">
            <v>RP</v>
          </cell>
          <cell r="C115" t="str">
            <v>SE</v>
          </cell>
          <cell r="D115">
            <v>174</v>
          </cell>
          <cell r="E115">
            <v>75</v>
          </cell>
          <cell r="F115">
            <v>259</v>
          </cell>
          <cell r="G115"/>
          <cell r="H115">
            <v>249</v>
          </cell>
          <cell r="I115">
            <v>508</v>
          </cell>
        </row>
        <row r="116">
          <cell r="A116" t="str">
            <v>RPEN</v>
          </cell>
          <cell r="B116" t="str">
            <v>RP</v>
          </cell>
          <cell r="C116" t="str">
            <v>EN</v>
          </cell>
          <cell r="D116">
            <v>146</v>
          </cell>
          <cell r="E116">
            <v>63</v>
          </cell>
          <cell r="F116">
            <v>252</v>
          </cell>
          <cell r="G116"/>
          <cell r="H116">
            <v>209</v>
          </cell>
          <cell r="I116">
            <v>461</v>
          </cell>
        </row>
        <row r="117">
          <cell r="A117" t="str">
            <v>RPST</v>
          </cell>
          <cell r="B117" t="str">
            <v>RP</v>
          </cell>
          <cell r="C117" t="str">
            <v>ST</v>
          </cell>
          <cell r="D117">
            <v>102</v>
          </cell>
          <cell r="E117">
            <v>70</v>
          </cell>
          <cell r="F117">
            <v>250</v>
          </cell>
          <cell r="G117"/>
          <cell r="H117">
            <v>172</v>
          </cell>
          <cell r="I117">
            <v>422</v>
          </cell>
        </row>
        <row r="118">
          <cell r="A118" t="str">
            <v>RPTL</v>
          </cell>
          <cell r="B118" t="str">
            <v>RP</v>
          </cell>
          <cell r="C118" t="str">
            <v>TL</v>
          </cell>
          <cell r="D118">
            <v>71</v>
          </cell>
          <cell r="E118">
            <v>80</v>
          </cell>
          <cell r="F118">
            <v>246</v>
          </cell>
          <cell r="G118"/>
          <cell r="H118">
            <v>151</v>
          </cell>
          <cell r="I118">
            <v>397</v>
          </cell>
        </row>
        <row r="119">
          <cell r="A119" t="str">
            <v>RPJT</v>
          </cell>
          <cell r="B119" t="str">
            <v>RP</v>
          </cell>
          <cell r="C119" t="str">
            <v>JT</v>
          </cell>
          <cell r="D119">
            <v>52</v>
          </cell>
          <cell r="E119">
            <v>81</v>
          </cell>
          <cell r="F119">
            <v>241</v>
          </cell>
          <cell r="G119"/>
          <cell r="H119">
            <v>133</v>
          </cell>
          <cell r="I119">
            <v>374</v>
          </cell>
        </row>
        <row r="120">
          <cell r="A120" t="str">
            <v>RPIN</v>
          </cell>
          <cell r="B120" t="str">
            <v>RP</v>
          </cell>
          <cell r="C120" t="str">
            <v>IN</v>
          </cell>
          <cell r="D120">
            <v>52</v>
          </cell>
          <cell r="E120">
            <v>81</v>
          </cell>
          <cell r="F120">
            <v>244</v>
          </cell>
          <cell r="G120"/>
          <cell r="H120">
            <v>133</v>
          </cell>
          <cell r="I120">
            <v>377</v>
          </cell>
        </row>
        <row r="121">
          <cell r="A121" t="str">
            <v>RPPP</v>
          </cell>
          <cell r="B121" t="str">
            <v>RP</v>
          </cell>
          <cell r="C121" t="str">
            <v>PP</v>
          </cell>
          <cell r="D121">
            <v>125</v>
          </cell>
          <cell r="E121">
            <v>118</v>
          </cell>
          <cell r="F121">
            <v>210</v>
          </cell>
          <cell r="G121"/>
          <cell r="H121">
            <v>243</v>
          </cell>
          <cell r="I121">
            <v>453</v>
          </cell>
        </row>
        <row r="122">
          <cell r="A122" t="str">
            <v>----  Romania: Brasov  ----</v>
          </cell>
          <cell r="C122" t="str">
            <v>----  Romania: Brasov  ----</v>
          </cell>
          <cell r="D122"/>
          <cell r="E122"/>
          <cell r="F122"/>
          <cell r="G122"/>
          <cell r="H122"/>
          <cell r="I122"/>
        </row>
        <row r="123">
          <cell r="A123" t="str">
            <v>RBBD</v>
          </cell>
          <cell r="B123" t="str">
            <v>RB</v>
          </cell>
          <cell r="C123" t="str">
            <v>BD</v>
          </cell>
          <cell r="D123">
            <v>540</v>
          </cell>
          <cell r="E123">
            <v>132</v>
          </cell>
          <cell r="F123">
            <v>334</v>
          </cell>
          <cell r="G123"/>
          <cell r="H123">
            <v>672</v>
          </cell>
          <cell r="I123">
            <v>1006</v>
          </cell>
        </row>
        <row r="124">
          <cell r="A124" t="str">
            <v>RBBM</v>
          </cell>
          <cell r="B124" t="str">
            <v>RB</v>
          </cell>
          <cell r="C124" t="str">
            <v>BM</v>
          </cell>
          <cell r="D124">
            <v>458</v>
          </cell>
          <cell r="E124">
            <v>139</v>
          </cell>
          <cell r="F124">
            <v>315</v>
          </cell>
          <cell r="G124"/>
          <cell r="H124">
            <v>597</v>
          </cell>
          <cell r="I124">
            <v>912</v>
          </cell>
        </row>
        <row r="125">
          <cell r="A125" t="str">
            <v>RBSM</v>
          </cell>
          <cell r="B125" t="str">
            <v>RB</v>
          </cell>
          <cell r="C125" t="str">
            <v>SM</v>
          </cell>
          <cell r="D125">
            <v>387</v>
          </cell>
          <cell r="E125">
            <v>89</v>
          </cell>
          <cell r="F125">
            <v>296</v>
          </cell>
          <cell r="G125"/>
          <cell r="H125">
            <v>476</v>
          </cell>
          <cell r="I125">
            <v>772</v>
          </cell>
        </row>
        <row r="126">
          <cell r="A126" t="str">
            <v>RBML</v>
          </cell>
          <cell r="B126" t="str">
            <v>RB</v>
          </cell>
          <cell r="C126" t="str">
            <v>ML</v>
          </cell>
          <cell r="D126">
            <v>339</v>
          </cell>
          <cell r="E126">
            <v>57</v>
          </cell>
          <cell r="F126">
            <v>283</v>
          </cell>
          <cell r="G126"/>
          <cell r="H126">
            <v>396</v>
          </cell>
          <cell r="I126">
            <v>679</v>
          </cell>
        </row>
        <row r="127">
          <cell r="A127" t="str">
            <v>RBSC</v>
          </cell>
          <cell r="B127" t="str">
            <v>RB</v>
          </cell>
          <cell r="C127" t="str">
            <v>SC</v>
          </cell>
          <cell r="D127">
            <v>269</v>
          </cell>
          <cell r="E127">
            <v>69</v>
          </cell>
          <cell r="F127">
            <v>276</v>
          </cell>
          <cell r="G127"/>
          <cell r="H127">
            <v>338</v>
          </cell>
          <cell r="I127">
            <v>614</v>
          </cell>
        </row>
        <row r="128">
          <cell r="A128" t="str">
            <v>RBCL</v>
          </cell>
          <cell r="B128" t="str">
            <v>RB</v>
          </cell>
          <cell r="C128" t="str">
            <v>CL</v>
          </cell>
          <cell r="D128">
            <v>238</v>
          </cell>
          <cell r="E128">
            <v>51</v>
          </cell>
          <cell r="F128">
            <v>266</v>
          </cell>
          <cell r="G128"/>
          <cell r="H128">
            <v>289</v>
          </cell>
          <cell r="I128">
            <v>555</v>
          </cell>
        </row>
        <row r="129">
          <cell r="A129" t="str">
            <v>RBSE</v>
          </cell>
          <cell r="B129" t="str">
            <v>RB</v>
          </cell>
          <cell r="C129" t="str">
            <v>SE</v>
          </cell>
          <cell r="D129">
            <v>192</v>
          </cell>
          <cell r="E129">
            <v>57</v>
          </cell>
          <cell r="F129">
            <v>259</v>
          </cell>
          <cell r="G129"/>
          <cell r="H129">
            <v>249</v>
          </cell>
          <cell r="I129">
            <v>508</v>
          </cell>
        </row>
        <row r="130">
          <cell r="A130" t="str">
            <v>RBEN</v>
          </cell>
          <cell r="B130" t="str">
            <v>RB</v>
          </cell>
          <cell r="C130" t="str">
            <v>EN</v>
          </cell>
          <cell r="D130">
            <v>149</v>
          </cell>
          <cell r="E130">
            <v>60</v>
          </cell>
          <cell r="F130">
            <v>252</v>
          </cell>
          <cell r="G130"/>
          <cell r="H130">
            <v>209</v>
          </cell>
          <cell r="I130">
            <v>461</v>
          </cell>
        </row>
        <row r="131">
          <cell r="A131" t="str">
            <v>RBST</v>
          </cell>
          <cell r="B131" t="str">
            <v>RB</v>
          </cell>
          <cell r="C131" t="str">
            <v>ST</v>
          </cell>
          <cell r="D131">
            <v>123</v>
          </cell>
          <cell r="E131">
            <v>49</v>
          </cell>
          <cell r="F131">
            <v>250</v>
          </cell>
          <cell r="G131"/>
          <cell r="H131">
            <v>172</v>
          </cell>
          <cell r="I131">
            <v>422</v>
          </cell>
        </row>
        <row r="132">
          <cell r="A132" t="str">
            <v>RBTL</v>
          </cell>
          <cell r="B132" t="str">
            <v>RB</v>
          </cell>
          <cell r="C132" t="str">
            <v>TL</v>
          </cell>
          <cell r="D132">
            <v>103</v>
          </cell>
          <cell r="E132">
            <v>48</v>
          </cell>
          <cell r="F132">
            <v>246</v>
          </cell>
          <cell r="G132"/>
          <cell r="H132">
            <v>151</v>
          </cell>
          <cell r="I132">
            <v>397</v>
          </cell>
        </row>
        <row r="133">
          <cell r="A133" t="str">
            <v>RBJT</v>
          </cell>
          <cell r="B133" t="str">
            <v>RB</v>
          </cell>
          <cell r="C133" t="str">
            <v>JT</v>
          </cell>
          <cell r="D133">
            <v>80</v>
          </cell>
          <cell r="E133">
            <v>53</v>
          </cell>
          <cell r="F133">
            <v>241</v>
          </cell>
          <cell r="G133"/>
          <cell r="H133">
            <v>133</v>
          </cell>
          <cell r="I133">
            <v>374</v>
          </cell>
        </row>
        <row r="134">
          <cell r="A134" t="str">
            <v>RBIN</v>
          </cell>
          <cell r="B134" t="str">
            <v>RB</v>
          </cell>
          <cell r="C134" t="str">
            <v>IN</v>
          </cell>
          <cell r="D134">
            <v>74</v>
          </cell>
          <cell r="E134">
            <v>59</v>
          </cell>
          <cell r="F134">
            <v>244</v>
          </cell>
          <cell r="G134"/>
          <cell r="H134">
            <v>133</v>
          </cell>
          <cell r="I134">
            <v>377</v>
          </cell>
        </row>
        <row r="135">
          <cell r="A135" t="str">
            <v>RBPP</v>
          </cell>
          <cell r="B135" t="str">
            <v>RB</v>
          </cell>
          <cell r="C135" t="str">
            <v>PP</v>
          </cell>
          <cell r="D135">
            <v>147</v>
          </cell>
          <cell r="E135">
            <v>96</v>
          </cell>
          <cell r="F135">
            <v>210</v>
          </cell>
          <cell r="G135"/>
          <cell r="H135">
            <v>243</v>
          </cell>
          <cell r="I135">
            <v>453</v>
          </cell>
        </row>
        <row r="136">
          <cell r="A136" t="str">
            <v>---- Romania: Targu Mures ----</v>
          </cell>
          <cell r="C136" t="str">
            <v>---- Romania: Targu Mures ----</v>
          </cell>
          <cell r="D136"/>
          <cell r="E136"/>
          <cell r="F136"/>
          <cell r="G136"/>
          <cell r="H136"/>
          <cell r="I136"/>
        </row>
        <row r="137">
          <cell r="A137" t="str">
            <v>RMBD</v>
          </cell>
          <cell r="B137" t="str">
            <v>RM</v>
          </cell>
          <cell r="C137" t="str">
            <v>BD</v>
          </cell>
          <cell r="D137">
            <v>532</v>
          </cell>
          <cell r="E137">
            <v>140</v>
          </cell>
          <cell r="F137">
            <v>334</v>
          </cell>
          <cell r="G137"/>
          <cell r="H137">
            <v>672</v>
          </cell>
          <cell r="I137">
            <v>1006</v>
          </cell>
        </row>
        <row r="138">
          <cell r="A138" t="str">
            <v>RMBM</v>
          </cell>
          <cell r="B138" t="str">
            <v>RM</v>
          </cell>
          <cell r="C138" t="str">
            <v>BM</v>
          </cell>
          <cell r="D138">
            <v>451</v>
          </cell>
          <cell r="E138">
            <v>146</v>
          </cell>
          <cell r="F138">
            <v>315</v>
          </cell>
          <cell r="G138"/>
          <cell r="H138">
            <v>597</v>
          </cell>
          <cell r="I138">
            <v>912</v>
          </cell>
        </row>
        <row r="139">
          <cell r="A139" t="str">
            <v>RMSM</v>
          </cell>
          <cell r="B139" t="str">
            <v>RM</v>
          </cell>
          <cell r="C139" t="str">
            <v>SM</v>
          </cell>
          <cell r="D139">
            <v>381</v>
          </cell>
          <cell r="E139">
            <v>95</v>
          </cell>
          <cell r="F139">
            <v>296</v>
          </cell>
          <cell r="G139"/>
          <cell r="H139">
            <v>476</v>
          </cell>
          <cell r="I139">
            <v>772</v>
          </cell>
        </row>
        <row r="140">
          <cell r="A140" t="str">
            <v>RMML</v>
          </cell>
          <cell r="B140" t="str">
            <v>RM</v>
          </cell>
          <cell r="C140" t="str">
            <v>ML</v>
          </cell>
          <cell r="D140">
            <v>333</v>
          </cell>
          <cell r="E140">
            <v>63</v>
          </cell>
          <cell r="F140">
            <v>283</v>
          </cell>
          <cell r="G140"/>
          <cell r="H140">
            <v>396</v>
          </cell>
          <cell r="I140">
            <v>679</v>
          </cell>
        </row>
        <row r="141">
          <cell r="A141" t="str">
            <v>RMSC</v>
          </cell>
          <cell r="B141" t="str">
            <v>RM</v>
          </cell>
          <cell r="C141" t="str">
            <v>SC</v>
          </cell>
          <cell r="D141">
            <v>264</v>
          </cell>
          <cell r="E141">
            <v>74</v>
          </cell>
          <cell r="F141">
            <v>276</v>
          </cell>
          <cell r="G141"/>
          <cell r="H141">
            <v>338</v>
          </cell>
          <cell r="I141">
            <v>614</v>
          </cell>
        </row>
        <row r="142">
          <cell r="A142" t="str">
            <v>RMCL</v>
          </cell>
          <cell r="B142" t="str">
            <v>RM</v>
          </cell>
          <cell r="C142" t="str">
            <v>CL</v>
          </cell>
          <cell r="D142">
            <v>234</v>
          </cell>
          <cell r="E142">
            <v>55</v>
          </cell>
          <cell r="F142">
            <v>266</v>
          </cell>
          <cell r="G142"/>
          <cell r="H142">
            <v>289</v>
          </cell>
          <cell r="I142">
            <v>555</v>
          </cell>
        </row>
        <row r="143">
          <cell r="A143" t="str">
            <v>RMSE</v>
          </cell>
          <cell r="B143" t="str">
            <v>RM</v>
          </cell>
          <cell r="C143" t="str">
            <v>SE</v>
          </cell>
          <cell r="D143">
            <v>189</v>
          </cell>
          <cell r="E143">
            <v>60</v>
          </cell>
          <cell r="F143">
            <v>259</v>
          </cell>
          <cell r="G143"/>
          <cell r="H143">
            <v>249</v>
          </cell>
          <cell r="I143">
            <v>508</v>
          </cell>
        </row>
        <row r="144">
          <cell r="A144" t="str">
            <v>RMEN</v>
          </cell>
          <cell r="B144" t="str">
            <v>RM</v>
          </cell>
          <cell r="C144" t="str">
            <v>EN</v>
          </cell>
          <cell r="D144">
            <v>147</v>
          </cell>
          <cell r="E144">
            <v>62</v>
          </cell>
          <cell r="F144">
            <v>252</v>
          </cell>
          <cell r="G144"/>
          <cell r="H144">
            <v>209</v>
          </cell>
          <cell r="I144">
            <v>461</v>
          </cell>
        </row>
        <row r="145">
          <cell r="A145" t="str">
            <v>RMST</v>
          </cell>
          <cell r="B145" t="str">
            <v>RM</v>
          </cell>
          <cell r="C145" t="str">
            <v>ST</v>
          </cell>
          <cell r="D145">
            <v>124</v>
          </cell>
          <cell r="E145">
            <v>48</v>
          </cell>
          <cell r="F145">
            <v>250</v>
          </cell>
          <cell r="G145"/>
          <cell r="H145">
            <v>172</v>
          </cell>
          <cell r="I145">
            <v>422</v>
          </cell>
        </row>
        <row r="146">
          <cell r="A146" t="str">
            <v>RMTL</v>
          </cell>
          <cell r="B146" t="str">
            <v>RM</v>
          </cell>
          <cell r="C146" t="str">
            <v>TL</v>
          </cell>
          <cell r="D146">
            <v>105</v>
          </cell>
          <cell r="E146">
            <v>46</v>
          </cell>
          <cell r="F146">
            <v>246</v>
          </cell>
          <cell r="G146"/>
          <cell r="H146">
            <v>151</v>
          </cell>
          <cell r="I146">
            <v>397</v>
          </cell>
        </row>
        <row r="147">
          <cell r="A147" t="str">
            <v>RMJT</v>
          </cell>
          <cell r="B147" t="str">
            <v>RM</v>
          </cell>
          <cell r="C147" t="str">
            <v>JT</v>
          </cell>
          <cell r="D147">
            <v>81</v>
          </cell>
          <cell r="E147">
            <v>52</v>
          </cell>
          <cell r="F147">
            <v>241</v>
          </cell>
          <cell r="G147"/>
          <cell r="H147">
            <v>133</v>
          </cell>
          <cell r="I147">
            <v>374</v>
          </cell>
        </row>
        <row r="148">
          <cell r="A148" t="str">
            <v>RMIN</v>
          </cell>
          <cell r="B148" t="str">
            <v>RM</v>
          </cell>
          <cell r="C148" t="str">
            <v>IN</v>
          </cell>
          <cell r="D148">
            <v>75</v>
          </cell>
          <cell r="E148">
            <v>58</v>
          </cell>
          <cell r="F148">
            <v>244</v>
          </cell>
          <cell r="G148"/>
          <cell r="H148">
            <v>133</v>
          </cell>
          <cell r="I148">
            <v>377</v>
          </cell>
        </row>
        <row r="149">
          <cell r="A149" t="str">
            <v>RMPP</v>
          </cell>
          <cell r="B149" t="str">
            <v>RM</v>
          </cell>
          <cell r="C149" t="str">
            <v>PP</v>
          </cell>
          <cell r="D149">
            <v>155</v>
          </cell>
          <cell r="E149">
            <v>88</v>
          </cell>
          <cell r="F149">
            <v>210</v>
          </cell>
          <cell r="G149"/>
          <cell r="H149">
            <v>243</v>
          </cell>
          <cell r="I149">
            <v>453</v>
          </cell>
        </row>
        <row r="150">
          <cell r="A150" t="str">
            <v>----  Bulgaria: Sofia  ----</v>
          </cell>
          <cell r="C150" t="str">
            <v>----  Bulgaria: Sofia  ----</v>
          </cell>
          <cell r="D150"/>
          <cell r="E150"/>
          <cell r="F150"/>
          <cell r="G150"/>
          <cell r="H150"/>
          <cell r="I150"/>
        </row>
        <row r="151">
          <cell r="A151" t="str">
            <v>BGBD</v>
          </cell>
          <cell r="B151" t="str">
            <v>BG</v>
          </cell>
          <cell r="C151" t="str">
            <v>BD</v>
          </cell>
          <cell r="D151">
            <v>490</v>
          </cell>
          <cell r="E151">
            <v>182</v>
          </cell>
          <cell r="F151">
            <v>334</v>
          </cell>
          <cell r="G151"/>
          <cell r="H151">
            <v>672</v>
          </cell>
          <cell r="I151">
            <v>1006</v>
          </cell>
        </row>
        <row r="152">
          <cell r="A152" t="str">
            <v>BGBM</v>
          </cell>
          <cell r="B152" t="str">
            <v>BG</v>
          </cell>
          <cell r="C152" t="str">
            <v>BM</v>
          </cell>
          <cell r="D152">
            <v>415</v>
          </cell>
          <cell r="E152">
            <v>182</v>
          </cell>
          <cell r="F152">
            <v>315</v>
          </cell>
          <cell r="G152"/>
          <cell r="H152">
            <v>597</v>
          </cell>
          <cell r="I152">
            <v>912</v>
          </cell>
        </row>
        <row r="153">
          <cell r="A153" t="str">
            <v>BGSM</v>
          </cell>
          <cell r="B153" t="str">
            <v>BG</v>
          </cell>
          <cell r="C153" t="str">
            <v>SM</v>
          </cell>
          <cell r="D153">
            <v>352</v>
          </cell>
          <cell r="E153">
            <v>124</v>
          </cell>
          <cell r="F153">
            <v>296</v>
          </cell>
          <cell r="G153"/>
          <cell r="H153">
            <v>476</v>
          </cell>
          <cell r="I153">
            <v>772</v>
          </cell>
        </row>
        <row r="154">
          <cell r="A154" t="str">
            <v>BGML</v>
          </cell>
          <cell r="B154" t="str">
            <v>BG</v>
          </cell>
          <cell r="C154" t="str">
            <v>ML</v>
          </cell>
          <cell r="D154">
            <v>291</v>
          </cell>
          <cell r="E154">
            <v>105</v>
          </cell>
          <cell r="F154">
            <v>283</v>
          </cell>
          <cell r="G154"/>
          <cell r="H154">
            <v>396</v>
          </cell>
          <cell r="I154">
            <v>679</v>
          </cell>
        </row>
        <row r="155">
          <cell r="A155" t="str">
            <v>BGSC</v>
          </cell>
          <cell r="B155" t="str">
            <v>BG</v>
          </cell>
          <cell r="C155" t="str">
            <v>SC</v>
          </cell>
          <cell r="D155">
            <v>240</v>
          </cell>
          <cell r="E155">
            <v>98</v>
          </cell>
          <cell r="F155">
            <v>276</v>
          </cell>
          <cell r="G155"/>
          <cell r="H155">
            <v>338</v>
          </cell>
          <cell r="I155">
            <v>614</v>
          </cell>
        </row>
        <row r="156">
          <cell r="A156" t="str">
            <v>BGCL</v>
          </cell>
          <cell r="B156" t="str">
            <v>BG</v>
          </cell>
          <cell r="C156" t="str">
            <v>CL</v>
          </cell>
          <cell r="D156">
            <v>223</v>
          </cell>
          <cell r="E156">
            <v>66</v>
          </cell>
          <cell r="F156">
            <v>266</v>
          </cell>
          <cell r="G156"/>
          <cell r="H156">
            <v>289</v>
          </cell>
          <cell r="I156">
            <v>555</v>
          </cell>
        </row>
        <row r="157">
          <cell r="A157" t="str">
            <v>BGSE</v>
          </cell>
          <cell r="B157" t="str">
            <v>BG</v>
          </cell>
          <cell r="C157" t="str">
            <v>SE</v>
          </cell>
          <cell r="D157">
            <v>201</v>
          </cell>
          <cell r="E157">
            <v>48</v>
          </cell>
          <cell r="F157">
            <v>259</v>
          </cell>
          <cell r="G157"/>
          <cell r="H157">
            <v>249</v>
          </cell>
          <cell r="I157">
            <v>508</v>
          </cell>
        </row>
        <row r="158">
          <cell r="A158" t="str">
            <v>BGEN</v>
          </cell>
          <cell r="B158" t="str">
            <v>BG</v>
          </cell>
          <cell r="C158" t="str">
            <v>EN</v>
          </cell>
          <cell r="D158">
            <v>165</v>
          </cell>
          <cell r="E158">
            <v>44</v>
          </cell>
          <cell r="F158">
            <v>252</v>
          </cell>
          <cell r="G158"/>
          <cell r="H158">
            <v>209</v>
          </cell>
          <cell r="I158">
            <v>461</v>
          </cell>
        </row>
        <row r="159">
          <cell r="A159" t="str">
            <v>BGST</v>
          </cell>
          <cell r="B159" t="str">
            <v>BG</v>
          </cell>
          <cell r="C159" t="str">
            <v>ST</v>
          </cell>
          <cell r="D159">
            <v>130</v>
          </cell>
          <cell r="E159">
            <v>42</v>
          </cell>
          <cell r="F159">
            <v>250</v>
          </cell>
          <cell r="G159"/>
          <cell r="H159">
            <v>172</v>
          </cell>
          <cell r="I159">
            <v>422</v>
          </cell>
        </row>
        <row r="160">
          <cell r="A160" t="str">
            <v>BGTL</v>
          </cell>
          <cell r="B160" t="str">
            <v>BG</v>
          </cell>
          <cell r="C160" t="str">
            <v>TL</v>
          </cell>
          <cell r="D160">
            <v>91</v>
          </cell>
          <cell r="E160">
            <v>60</v>
          </cell>
          <cell r="F160">
            <v>246</v>
          </cell>
          <cell r="G160"/>
          <cell r="H160">
            <v>151</v>
          </cell>
          <cell r="I160">
            <v>397</v>
          </cell>
        </row>
        <row r="161">
          <cell r="A161" t="str">
            <v>BGJT</v>
          </cell>
          <cell r="B161" t="str">
            <v>BG</v>
          </cell>
          <cell r="C161" t="str">
            <v>JT</v>
          </cell>
          <cell r="D161">
            <v>76</v>
          </cell>
          <cell r="E161">
            <v>57</v>
          </cell>
          <cell r="F161">
            <v>241</v>
          </cell>
          <cell r="G161"/>
          <cell r="H161">
            <v>133</v>
          </cell>
          <cell r="I161">
            <v>374</v>
          </cell>
        </row>
        <row r="162">
          <cell r="A162" t="str">
            <v>BGIN</v>
          </cell>
          <cell r="B162" t="str">
            <v>BG</v>
          </cell>
          <cell r="C162" t="str">
            <v>IN</v>
          </cell>
          <cell r="D162">
            <v>61</v>
          </cell>
          <cell r="E162">
            <v>72</v>
          </cell>
          <cell r="F162">
            <v>244</v>
          </cell>
          <cell r="G162"/>
          <cell r="H162">
            <v>133</v>
          </cell>
          <cell r="I162">
            <v>377</v>
          </cell>
        </row>
        <row r="163">
          <cell r="A163" t="str">
            <v>BGPP</v>
          </cell>
          <cell r="B163" t="str">
            <v>BG</v>
          </cell>
          <cell r="C163" t="str">
            <v>PP</v>
          </cell>
          <cell r="D163">
            <v>169</v>
          </cell>
          <cell r="E163">
            <v>74</v>
          </cell>
          <cell r="F163">
            <v>210</v>
          </cell>
          <cell r="G163"/>
          <cell r="H163">
            <v>243</v>
          </cell>
          <cell r="I163">
            <v>453</v>
          </cell>
        </row>
        <row r="164">
          <cell r="A164" t="str">
            <v>----  Serbia: Belgrade  ----</v>
          </cell>
          <cell r="C164" t="str">
            <v>----  Serbia: Belgrade  ----</v>
          </cell>
          <cell r="D164"/>
          <cell r="E164"/>
          <cell r="F164"/>
          <cell r="G164"/>
          <cell r="H164"/>
          <cell r="I164"/>
        </row>
        <row r="165">
          <cell r="A165" t="str">
            <v>SBBD</v>
          </cell>
          <cell r="B165" t="str">
            <v>SB</v>
          </cell>
          <cell r="C165" t="str">
            <v>BD</v>
          </cell>
          <cell r="D165">
            <v>592</v>
          </cell>
          <cell r="E165">
            <v>80</v>
          </cell>
          <cell r="F165">
            <v>334</v>
          </cell>
          <cell r="G165"/>
          <cell r="H165">
            <v>672</v>
          </cell>
          <cell r="I165">
            <v>1006</v>
          </cell>
        </row>
        <row r="166">
          <cell r="A166" t="str">
            <v>SBBM</v>
          </cell>
          <cell r="B166" t="str">
            <v>SB</v>
          </cell>
          <cell r="C166" t="str">
            <v>BM</v>
          </cell>
          <cell r="D166">
            <v>513</v>
          </cell>
          <cell r="E166">
            <v>84</v>
          </cell>
          <cell r="F166">
            <v>315</v>
          </cell>
          <cell r="G166"/>
          <cell r="H166">
            <v>597</v>
          </cell>
          <cell r="I166">
            <v>912</v>
          </cell>
        </row>
        <row r="167">
          <cell r="A167" t="str">
            <v>SBSM</v>
          </cell>
          <cell r="B167" t="str">
            <v>SB</v>
          </cell>
          <cell r="C167" t="str">
            <v>SM</v>
          </cell>
          <cell r="D167">
            <v>434</v>
          </cell>
          <cell r="E167">
            <v>42</v>
          </cell>
          <cell r="F167">
            <v>296</v>
          </cell>
          <cell r="G167"/>
          <cell r="H167">
            <v>476</v>
          </cell>
          <cell r="I167">
            <v>772</v>
          </cell>
        </row>
        <row r="168">
          <cell r="A168" t="str">
            <v>SBML</v>
          </cell>
          <cell r="B168" t="str">
            <v>SB</v>
          </cell>
          <cell r="C168" t="str">
            <v>ML</v>
          </cell>
          <cell r="D168">
            <v>357</v>
          </cell>
          <cell r="E168">
            <v>39</v>
          </cell>
          <cell r="F168">
            <v>283</v>
          </cell>
          <cell r="G168"/>
          <cell r="H168">
            <v>396</v>
          </cell>
          <cell r="I168">
            <v>679</v>
          </cell>
        </row>
        <row r="169">
          <cell r="A169" t="str">
            <v>SBSC</v>
          </cell>
          <cell r="B169" t="str">
            <v>SB</v>
          </cell>
          <cell r="C169" t="str">
            <v>SC</v>
          </cell>
          <cell r="D169">
            <v>292</v>
          </cell>
          <cell r="E169">
            <v>46</v>
          </cell>
          <cell r="F169">
            <v>276</v>
          </cell>
          <cell r="G169"/>
          <cell r="H169">
            <v>338</v>
          </cell>
          <cell r="I169">
            <v>614</v>
          </cell>
        </row>
        <row r="170">
          <cell r="A170" t="str">
            <v>SBCL</v>
          </cell>
          <cell r="B170" t="str">
            <v>SB</v>
          </cell>
          <cell r="C170" t="str">
            <v>CL</v>
          </cell>
          <cell r="D170">
            <v>247</v>
          </cell>
          <cell r="E170">
            <v>42</v>
          </cell>
          <cell r="F170">
            <v>266</v>
          </cell>
          <cell r="G170"/>
          <cell r="H170">
            <v>289</v>
          </cell>
          <cell r="I170">
            <v>555</v>
          </cell>
        </row>
        <row r="171">
          <cell r="A171" t="str">
            <v>SBSE</v>
          </cell>
          <cell r="B171" t="str">
            <v>SB</v>
          </cell>
          <cell r="C171" t="str">
            <v>SE</v>
          </cell>
          <cell r="D171">
            <v>207</v>
          </cell>
          <cell r="E171">
            <v>42</v>
          </cell>
          <cell r="F171">
            <v>259</v>
          </cell>
          <cell r="G171"/>
          <cell r="H171">
            <v>249</v>
          </cell>
          <cell r="I171">
            <v>508</v>
          </cell>
        </row>
        <row r="172">
          <cell r="A172" t="str">
            <v>SBEN</v>
          </cell>
          <cell r="B172" t="str">
            <v>SB</v>
          </cell>
          <cell r="C172" t="str">
            <v>EN</v>
          </cell>
          <cell r="D172">
            <v>172</v>
          </cell>
          <cell r="E172">
            <v>37</v>
          </cell>
          <cell r="F172">
            <v>252</v>
          </cell>
          <cell r="G172"/>
          <cell r="H172">
            <v>209</v>
          </cell>
          <cell r="I172">
            <v>461</v>
          </cell>
        </row>
        <row r="173">
          <cell r="A173" t="str">
            <v>SBST</v>
          </cell>
          <cell r="B173" t="str">
            <v>SB</v>
          </cell>
          <cell r="C173" t="str">
            <v>ST</v>
          </cell>
          <cell r="D173">
            <v>139</v>
          </cell>
          <cell r="E173">
            <v>33</v>
          </cell>
          <cell r="F173">
            <v>250</v>
          </cell>
          <cell r="G173"/>
          <cell r="H173">
            <v>172</v>
          </cell>
          <cell r="I173">
            <v>422</v>
          </cell>
        </row>
        <row r="174">
          <cell r="A174" t="str">
            <v>SBTL</v>
          </cell>
          <cell r="B174" t="str">
            <v>SB</v>
          </cell>
          <cell r="C174" t="str">
            <v>TL</v>
          </cell>
          <cell r="D174">
            <v>108</v>
          </cell>
          <cell r="E174">
            <v>43</v>
          </cell>
          <cell r="F174">
            <v>246</v>
          </cell>
          <cell r="G174"/>
          <cell r="H174">
            <v>151</v>
          </cell>
          <cell r="I174">
            <v>397</v>
          </cell>
        </row>
        <row r="175">
          <cell r="A175" t="str">
            <v>SBJT</v>
          </cell>
          <cell r="B175" t="str">
            <v>SB</v>
          </cell>
          <cell r="C175" t="str">
            <v>JT</v>
          </cell>
          <cell r="D175">
            <v>78</v>
          </cell>
          <cell r="E175">
            <v>55</v>
          </cell>
          <cell r="F175">
            <v>241</v>
          </cell>
          <cell r="G175"/>
          <cell r="H175">
            <v>133</v>
          </cell>
          <cell r="I175">
            <v>374</v>
          </cell>
        </row>
        <row r="176">
          <cell r="A176" t="str">
            <v>SBIN</v>
          </cell>
          <cell r="B176" t="str">
            <v>SB</v>
          </cell>
          <cell r="C176" t="str">
            <v>IN</v>
          </cell>
          <cell r="D176">
            <v>69</v>
          </cell>
          <cell r="E176">
            <v>64</v>
          </cell>
          <cell r="F176">
            <v>244</v>
          </cell>
          <cell r="G176"/>
          <cell r="H176">
            <v>133</v>
          </cell>
          <cell r="I176">
            <v>377</v>
          </cell>
        </row>
        <row r="177">
          <cell r="A177" t="str">
            <v>SBPP</v>
          </cell>
          <cell r="B177" t="str">
            <v>SB</v>
          </cell>
          <cell r="C177" t="str">
            <v>PP</v>
          </cell>
          <cell r="D177">
            <v>178</v>
          </cell>
          <cell r="E177">
            <v>65</v>
          </cell>
          <cell r="F177">
            <v>210</v>
          </cell>
          <cell r="G177"/>
          <cell r="H177">
            <v>243</v>
          </cell>
          <cell r="I177">
            <v>453</v>
          </cell>
        </row>
        <row r="178">
          <cell r="A178" t="str">
            <v>----  Colombia: Bogota  ----</v>
          </cell>
          <cell r="C178" t="str">
            <v>----  Colombia: Bogota  ----</v>
          </cell>
          <cell r="D178"/>
          <cell r="E178"/>
          <cell r="F178"/>
          <cell r="G178"/>
          <cell r="H178"/>
          <cell r="I178"/>
        </row>
        <row r="179">
          <cell r="A179" t="str">
            <v>CBBD</v>
          </cell>
          <cell r="B179" t="str">
            <v>CB</v>
          </cell>
          <cell r="C179" t="str">
            <v>BD</v>
          </cell>
          <cell r="D179">
            <v>521</v>
          </cell>
          <cell r="E179">
            <v>151</v>
          </cell>
          <cell r="F179">
            <v>334</v>
          </cell>
          <cell r="G179"/>
          <cell r="H179">
            <v>672</v>
          </cell>
          <cell r="I179">
            <v>1006</v>
          </cell>
        </row>
        <row r="180">
          <cell r="A180" t="str">
            <v>CBBM</v>
          </cell>
          <cell r="B180" t="str">
            <v>CB</v>
          </cell>
          <cell r="C180" t="str">
            <v>BM</v>
          </cell>
          <cell r="D180">
            <v>451</v>
          </cell>
          <cell r="E180">
            <v>146</v>
          </cell>
          <cell r="F180">
            <v>316</v>
          </cell>
          <cell r="G180"/>
          <cell r="H180">
            <v>597</v>
          </cell>
          <cell r="I180">
            <v>913</v>
          </cell>
        </row>
        <row r="181">
          <cell r="A181" t="str">
            <v>CBSM</v>
          </cell>
          <cell r="B181" t="str">
            <v>CB</v>
          </cell>
          <cell r="C181" t="str">
            <v>SM</v>
          </cell>
          <cell r="D181">
            <v>382</v>
          </cell>
          <cell r="E181">
            <v>94</v>
          </cell>
          <cell r="F181">
            <v>296</v>
          </cell>
          <cell r="G181"/>
          <cell r="H181">
            <v>476</v>
          </cell>
          <cell r="I181">
            <v>772</v>
          </cell>
        </row>
        <row r="182">
          <cell r="A182" t="str">
            <v>CBML</v>
          </cell>
          <cell r="B182" t="str">
            <v>CB</v>
          </cell>
          <cell r="C182" t="str">
            <v>ML</v>
          </cell>
          <cell r="D182">
            <v>314</v>
          </cell>
          <cell r="E182">
            <v>82</v>
          </cell>
          <cell r="F182">
            <v>282</v>
          </cell>
          <cell r="G182"/>
          <cell r="H182">
            <v>396</v>
          </cell>
          <cell r="I182">
            <v>678</v>
          </cell>
        </row>
        <row r="183">
          <cell r="A183" t="str">
            <v>CBSC</v>
          </cell>
          <cell r="B183" t="str">
            <v>CB</v>
          </cell>
          <cell r="C183" t="str">
            <v>SC</v>
          </cell>
          <cell r="D183">
            <v>257</v>
          </cell>
          <cell r="E183">
            <v>81</v>
          </cell>
          <cell r="F183">
            <v>275</v>
          </cell>
          <cell r="G183"/>
          <cell r="H183">
            <v>338</v>
          </cell>
          <cell r="I183">
            <v>613</v>
          </cell>
        </row>
        <row r="184">
          <cell r="A184" t="str">
            <v>CBCL</v>
          </cell>
          <cell r="B184" t="str">
            <v>CB</v>
          </cell>
          <cell r="C184" t="str">
            <v>CL</v>
          </cell>
          <cell r="D184">
            <v>218</v>
          </cell>
          <cell r="E184">
            <v>71</v>
          </cell>
          <cell r="F184">
            <v>265</v>
          </cell>
          <cell r="G184"/>
          <cell r="H184">
            <v>289</v>
          </cell>
          <cell r="I184">
            <v>554</v>
          </cell>
        </row>
        <row r="185">
          <cell r="A185" t="str">
            <v>CBSE</v>
          </cell>
          <cell r="B185" t="str">
            <v>CB</v>
          </cell>
          <cell r="C185" t="str">
            <v>SE</v>
          </cell>
          <cell r="D185">
            <v>183</v>
          </cell>
          <cell r="E185">
            <v>66</v>
          </cell>
          <cell r="F185">
            <v>259</v>
          </cell>
          <cell r="G185"/>
          <cell r="H185">
            <v>249</v>
          </cell>
          <cell r="I185">
            <v>508</v>
          </cell>
        </row>
        <row r="186">
          <cell r="A186" t="str">
            <v>CBEN</v>
          </cell>
          <cell r="B186" t="str">
            <v>CB</v>
          </cell>
          <cell r="C186" t="str">
            <v>EN</v>
          </cell>
          <cell r="D186">
            <v>153</v>
          </cell>
          <cell r="E186">
            <v>56</v>
          </cell>
          <cell r="F186">
            <v>252</v>
          </cell>
          <cell r="G186"/>
          <cell r="H186">
            <v>209</v>
          </cell>
          <cell r="I186">
            <v>461</v>
          </cell>
        </row>
        <row r="187">
          <cell r="A187" t="str">
            <v>CBST</v>
          </cell>
          <cell r="B187" t="str">
            <v>CB</v>
          </cell>
          <cell r="C187" t="str">
            <v>ST</v>
          </cell>
          <cell r="D187">
            <v>123</v>
          </cell>
          <cell r="E187">
            <v>49</v>
          </cell>
          <cell r="F187">
            <v>250</v>
          </cell>
          <cell r="G187"/>
          <cell r="H187">
            <v>172</v>
          </cell>
          <cell r="I187">
            <v>422</v>
          </cell>
        </row>
        <row r="188">
          <cell r="A188" t="str">
            <v>CBTL</v>
          </cell>
          <cell r="B188" t="str">
            <v>CB</v>
          </cell>
          <cell r="C188" t="str">
            <v>TL</v>
          </cell>
          <cell r="D188">
            <v>95</v>
          </cell>
          <cell r="E188">
            <v>56</v>
          </cell>
          <cell r="F188">
            <v>246</v>
          </cell>
          <cell r="G188"/>
          <cell r="H188">
            <v>151</v>
          </cell>
          <cell r="I188">
            <v>397</v>
          </cell>
        </row>
        <row r="189">
          <cell r="A189" t="str">
            <v>CBJT</v>
          </cell>
          <cell r="B189" t="str">
            <v>CB</v>
          </cell>
          <cell r="C189" t="str">
            <v>JT</v>
          </cell>
          <cell r="D189">
            <v>68</v>
          </cell>
          <cell r="E189">
            <v>65</v>
          </cell>
          <cell r="F189">
            <v>241</v>
          </cell>
          <cell r="G189"/>
          <cell r="H189">
            <v>133</v>
          </cell>
          <cell r="I189">
            <v>374</v>
          </cell>
        </row>
        <row r="190">
          <cell r="A190" t="str">
            <v>CBIN</v>
          </cell>
          <cell r="B190" t="str">
            <v>CB</v>
          </cell>
          <cell r="C190" t="str">
            <v>IN</v>
          </cell>
          <cell r="D190">
            <v>61</v>
          </cell>
          <cell r="E190">
            <v>72</v>
          </cell>
          <cell r="F190">
            <v>244</v>
          </cell>
          <cell r="G190"/>
          <cell r="H190">
            <v>133</v>
          </cell>
          <cell r="I190">
            <v>377</v>
          </cell>
        </row>
        <row r="191">
          <cell r="A191" t="str">
            <v>CBPP</v>
          </cell>
          <cell r="B191" t="str">
            <v>CB</v>
          </cell>
          <cell r="C191" t="str">
            <v>PP</v>
          </cell>
          <cell r="D191">
            <v>146</v>
          </cell>
          <cell r="E191">
            <v>97</v>
          </cell>
          <cell r="F191">
            <v>210</v>
          </cell>
          <cell r="G191"/>
          <cell r="H191">
            <v>243</v>
          </cell>
          <cell r="I191">
            <v>453</v>
          </cell>
        </row>
        <row r="192">
          <cell r="A192" t="str">
            <v>----  Colombia: Medellin ----</v>
          </cell>
          <cell r="C192" t="str">
            <v>----  Colombia: Medellin ----</v>
          </cell>
          <cell r="D192"/>
          <cell r="E192"/>
          <cell r="F192"/>
          <cell r="G192"/>
          <cell r="H192"/>
          <cell r="I192"/>
        </row>
        <row r="193">
          <cell r="A193" t="str">
            <v>CMBD</v>
          </cell>
          <cell r="B193" t="str">
            <v>CM</v>
          </cell>
          <cell r="C193" t="str">
            <v>BD</v>
          </cell>
          <cell r="D193">
            <v>581</v>
          </cell>
          <cell r="E193">
            <v>91</v>
          </cell>
          <cell r="F193">
            <v>334</v>
          </cell>
          <cell r="G193"/>
          <cell r="H193">
            <v>672</v>
          </cell>
          <cell r="I193">
            <v>1006</v>
          </cell>
        </row>
        <row r="194">
          <cell r="A194" t="str">
            <v>CMBM</v>
          </cell>
          <cell r="B194" t="str">
            <v>CM</v>
          </cell>
          <cell r="C194" t="str">
            <v>BM</v>
          </cell>
          <cell r="D194">
            <v>503</v>
          </cell>
          <cell r="E194">
            <v>94</v>
          </cell>
          <cell r="F194">
            <v>316</v>
          </cell>
          <cell r="G194"/>
          <cell r="H194">
            <v>597</v>
          </cell>
          <cell r="I194">
            <v>913</v>
          </cell>
        </row>
        <row r="195">
          <cell r="A195" t="str">
            <v>CMSM</v>
          </cell>
          <cell r="B195" t="str">
            <v>CM</v>
          </cell>
          <cell r="C195" t="str">
            <v>SM</v>
          </cell>
          <cell r="D195">
            <v>366</v>
          </cell>
          <cell r="E195">
            <v>110</v>
          </cell>
          <cell r="F195">
            <v>296</v>
          </cell>
          <cell r="G195"/>
          <cell r="H195">
            <v>476</v>
          </cell>
          <cell r="I195">
            <v>772</v>
          </cell>
        </row>
        <row r="196">
          <cell r="A196" t="str">
            <v>CMML</v>
          </cell>
          <cell r="B196" t="str">
            <v>CM</v>
          </cell>
          <cell r="C196" t="str">
            <v>ML</v>
          </cell>
          <cell r="D196">
            <v>301</v>
          </cell>
          <cell r="E196">
            <v>95</v>
          </cell>
          <cell r="F196">
            <v>282</v>
          </cell>
          <cell r="G196"/>
          <cell r="H196">
            <v>396</v>
          </cell>
          <cell r="I196">
            <v>678</v>
          </cell>
        </row>
        <row r="197">
          <cell r="A197" t="str">
            <v>CMSC</v>
          </cell>
          <cell r="B197" t="str">
            <v>CM</v>
          </cell>
          <cell r="C197" t="str">
            <v>SC</v>
          </cell>
          <cell r="D197">
            <v>287</v>
          </cell>
          <cell r="E197">
            <v>51</v>
          </cell>
          <cell r="F197">
            <v>275</v>
          </cell>
          <cell r="G197"/>
          <cell r="H197">
            <v>338</v>
          </cell>
          <cell r="I197">
            <v>613</v>
          </cell>
        </row>
        <row r="198">
          <cell r="A198" t="str">
            <v>CMCL</v>
          </cell>
          <cell r="B198" t="str">
            <v>CM</v>
          </cell>
          <cell r="C198" t="str">
            <v>CL</v>
          </cell>
          <cell r="D198">
            <v>242</v>
          </cell>
          <cell r="E198">
            <v>47</v>
          </cell>
          <cell r="F198">
            <v>265</v>
          </cell>
          <cell r="G198"/>
          <cell r="H198">
            <v>289</v>
          </cell>
          <cell r="I198">
            <v>554</v>
          </cell>
        </row>
        <row r="199">
          <cell r="A199" t="str">
            <v>CMSE</v>
          </cell>
          <cell r="B199" t="str">
            <v>CM</v>
          </cell>
          <cell r="C199" t="str">
            <v>SE</v>
          </cell>
          <cell r="D199">
            <v>204</v>
          </cell>
          <cell r="E199">
            <v>45</v>
          </cell>
          <cell r="F199">
            <v>259</v>
          </cell>
          <cell r="G199"/>
          <cell r="H199">
            <v>249</v>
          </cell>
          <cell r="I199">
            <v>508</v>
          </cell>
        </row>
        <row r="200">
          <cell r="A200" t="str">
            <v>CMEN</v>
          </cell>
          <cell r="B200" t="str">
            <v>CM</v>
          </cell>
          <cell r="C200" t="str">
            <v>EN</v>
          </cell>
          <cell r="D200">
            <v>170</v>
          </cell>
          <cell r="E200">
            <v>39</v>
          </cell>
          <cell r="F200">
            <v>252</v>
          </cell>
          <cell r="G200"/>
          <cell r="H200">
            <v>209</v>
          </cell>
          <cell r="I200">
            <v>461</v>
          </cell>
        </row>
        <row r="201">
          <cell r="A201" t="str">
            <v>CMST</v>
          </cell>
          <cell r="B201" t="str">
            <v>CM</v>
          </cell>
          <cell r="C201" t="str">
            <v>ST</v>
          </cell>
          <cell r="D201">
            <v>137</v>
          </cell>
          <cell r="E201">
            <v>35</v>
          </cell>
          <cell r="F201">
            <v>250</v>
          </cell>
          <cell r="G201"/>
          <cell r="H201">
            <v>172</v>
          </cell>
          <cell r="I201">
            <v>422</v>
          </cell>
        </row>
        <row r="202">
          <cell r="A202" t="str">
            <v>CMTL</v>
          </cell>
          <cell r="B202" t="str">
            <v>CM</v>
          </cell>
          <cell r="C202" t="str">
            <v>TL</v>
          </cell>
          <cell r="D202">
            <v>106</v>
          </cell>
          <cell r="E202">
            <v>45</v>
          </cell>
          <cell r="F202">
            <v>246</v>
          </cell>
          <cell r="G202"/>
          <cell r="H202">
            <v>151</v>
          </cell>
          <cell r="I202">
            <v>397</v>
          </cell>
        </row>
        <row r="203">
          <cell r="A203" t="str">
            <v>CMJT</v>
          </cell>
          <cell r="B203" t="str">
            <v>CM</v>
          </cell>
          <cell r="C203" t="str">
            <v>JT</v>
          </cell>
          <cell r="D203">
            <v>76</v>
          </cell>
          <cell r="E203">
            <v>57</v>
          </cell>
          <cell r="F203">
            <v>241</v>
          </cell>
          <cell r="G203"/>
          <cell r="H203">
            <v>133</v>
          </cell>
          <cell r="I203">
            <v>374</v>
          </cell>
        </row>
        <row r="204">
          <cell r="A204" t="str">
            <v>CMIN</v>
          </cell>
          <cell r="B204" t="str">
            <v>CM</v>
          </cell>
          <cell r="C204" t="str">
            <v>IN</v>
          </cell>
          <cell r="D204">
            <v>68</v>
          </cell>
          <cell r="E204">
            <v>65</v>
          </cell>
          <cell r="F204">
            <v>244</v>
          </cell>
          <cell r="G204"/>
          <cell r="H204">
            <v>133</v>
          </cell>
          <cell r="I204">
            <v>377</v>
          </cell>
        </row>
        <row r="205">
          <cell r="A205" t="str">
            <v>CMPP</v>
          </cell>
          <cell r="B205" t="str">
            <v>CM</v>
          </cell>
          <cell r="C205" t="str">
            <v>PP</v>
          </cell>
          <cell r="D205">
            <v>170</v>
          </cell>
          <cell r="E205">
            <v>73</v>
          </cell>
          <cell r="F205">
            <v>210</v>
          </cell>
          <cell r="G205"/>
          <cell r="H205">
            <v>243</v>
          </cell>
          <cell r="I205">
            <v>453</v>
          </cell>
        </row>
        <row r="206">
          <cell r="A206" t="str">
            <v>----  Argentina: Rosario ----</v>
          </cell>
          <cell r="C206" t="str">
            <v>----  Argentina: Rosario ----</v>
          </cell>
          <cell r="D206"/>
          <cell r="E206"/>
          <cell r="F206"/>
          <cell r="G206"/>
          <cell r="H206"/>
          <cell r="I206"/>
        </row>
        <row r="207">
          <cell r="A207" t="str">
            <v>ARBD</v>
          </cell>
          <cell r="B207" t="str">
            <v>AR</v>
          </cell>
          <cell r="C207" t="str">
            <v>BD</v>
          </cell>
          <cell r="D207">
            <v>599</v>
          </cell>
          <cell r="E207">
            <v>73</v>
          </cell>
          <cell r="F207">
            <v>334</v>
          </cell>
          <cell r="G207"/>
          <cell r="H207">
            <v>672</v>
          </cell>
          <cell r="I207">
            <v>1006</v>
          </cell>
        </row>
        <row r="208">
          <cell r="A208" t="str">
            <v>ARBM</v>
          </cell>
          <cell r="B208" t="str">
            <v>AR</v>
          </cell>
          <cell r="C208" t="str">
            <v>BM</v>
          </cell>
          <cell r="D208">
            <v>512</v>
          </cell>
          <cell r="E208">
            <v>85</v>
          </cell>
          <cell r="F208">
            <v>316</v>
          </cell>
          <cell r="G208"/>
          <cell r="H208">
            <v>597</v>
          </cell>
          <cell r="I208">
            <v>913</v>
          </cell>
        </row>
        <row r="209">
          <cell r="A209" t="str">
            <v>ARSM</v>
          </cell>
          <cell r="B209" t="str">
            <v>AR</v>
          </cell>
          <cell r="C209" t="str">
            <v>SM</v>
          </cell>
          <cell r="D209">
            <v>425</v>
          </cell>
          <cell r="E209">
            <v>51</v>
          </cell>
          <cell r="F209">
            <v>296</v>
          </cell>
          <cell r="G209"/>
          <cell r="H209">
            <v>476</v>
          </cell>
          <cell r="I209">
            <v>772</v>
          </cell>
        </row>
        <row r="210">
          <cell r="A210" t="str">
            <v>ARML</v>
          </cell>
          <cell r="B210" t="str">
            <v>AR</v>
          </cell>
          <cell r="C210" t="str">
            <v>ML</v>
          </cell>
          <cell r="D210">
            <v>352</v>
          </cell>
          <cell r="E210">
            <v>44</v>
          </cell>
          <cell r="F210">
            <v>282</v>
          </cell>
          <cell r="G210"/>
          <cell r="H210">
            <v>396</v>
          </cell>
          <cell r="I210">
            <v>678</v>
          </cell>
        </row>
        <row r="211">
          <cell r="A211" t="str">
            <v>ARSC</v>
          </cell>
          <cell r="B211" t="str">
            <v>AR</v>
          </cell>
          <cell r="C211" t="str">
            <v>SC</v>
          </cell>
          <cell r="D211">
            <v>291</v>
          </cell>
          <cell r="E211">
            <v>47</v>
          </cell>
          <cell r="F211">
            <v>275</v>
          </cell>
          <cell r="G211"/>
          <cell r="H211">
            <v>338</v>
          </cell>
          <cell r="I211">
            <v>613</v>
          </cell>
        </row>
        <row r="212">
          <cell r="A212" t="str">
            <v>ARCL</v>
          </cell>
          <cell r="B212" t="str">
            <v>AR</v>
          </cell>
          <cell r="C212" t="str">
            <v>CL</v>
          </cell>
          <cell r="D212">
            <v>246</v>
          </cell>
          <cell r="E212">
            <v>43</v>
          </cell>
          <cell r="F212">
            <v>265</v>
          </cell>
          <cell r="G212"/>
          <cell r="H212">
            <v>289</v>
          </cell>
          <cell r="I212">
            <v>554</v>
          </cell>
        </row>
        <row r="213">
          <cell r="A213" t="str">
            <v>ARSE</v>
          </cell>
          <cell r="B213" t="str">
            <v>AR</v>
          </cell>
          <cell r="C213" t="str">
            <v>SE</v>
          </cell>
          <cell r="D213">
            <v>208</v>
          </cell>
          <cell r="E213">
            <v>41</v>
          </cell>
          <cell r="F213">
            <v>259</v>
          </cell>
          <cell r="G213"/>
          <cell r="H213">
            <v>249</v>
          </cell>
          <cell r="I213">
            <v>508</v>
          </cell>
        </row>
        <row r="214">
          <cell r="A214" t="str">
            <v>AREN</v>
          </cell>
          <cell r="B214" t="str">
            <v>AR</v>
          </cell>
          <cell r="C214" t="str">
            <v>EN</v>
          </cell>
          <cell r="D214">
            <v>174</v>
          </cell>
          <cell r="E214">
            <v>35</v>
          </cell>
          <cell r="F214">
            <v>252</v>
          </cell>
          <cell r="G214"/>
          <cell r="H214">
            <v>209</v>
          </cell>
          <cell r="I214">
            <v>461</v>
          </cell>
        </row>
        <row r="215">
          <cell r="A215" t="str">
            <v>ARST</v>
          </cell>
          <cell r="B215" t="str">
            <v>AR</v>
          </cell>
          <cell r="C215" t="str">
            <v>ST</v>
          </cell>
          <cell r="D215">
            <v>140</v>
          </cell>
          <cell r="E215">
            <v>32</v>
          </cell>
          <cell r="F215">
            <v>250</v>
          </cell>
          <cell r="G215"/>
          <cell r="H215">
            <v>172</v>
          </cell>
          <cell r="I215">
            <v>422</v>
          </cell>
        </row>
        <row r="216">
          <cell r="A216" t="str">
            <v>ARTL</v>
          </cell>
          <cell r="B216" t="str">
            <v>AR</v>
          </cell>
          <cell r="C216" t="str">
            <v>TL</v>
          </cell>
          <cell r="D216">
            <v>108</v>
          </cell>
          <cell r="E216">
            <v>43</v>
          </cell>
          <cell r="F216">
            <v>246</v>
          </cell>
          <cell r="G216"/>
          <cell r="H216">
            <v>151</v>
          </cell>
          <cell r="I216">
            <v>397</v>
          </cell>
        </row>
        <row r="217">
          <cell r="A217" t="str">
            <v>ARJT</v>
          </cell>
          <cell r="B217" t="str">
            <v>AR</v>
          </cell>
          <cell r="C217" t="str">
            <v>JT</v>
          </cell>
          <cell r="D217">
            <v>78</v>
          </cell>
          <cell r="E217">
            <v>55</v>
          </cell>
          <cell r="F217">
            <v>241</v>
          </cell>
          <cell r="G217"/>
          <cell r="H217">
            <v>133</v>
          </cell>
          <cell r="I217">
            <v>374</v>
          </cell>
        </row>
        <row r="218">
          <cell r="A218" t="str">
            <v>ARIN</v>
          </cell>
          <cell r="B218" t="str">
            <v>AR</v>
          </cell>
          <cell r="C218" t="str">
            <v>IN</v>
          </cell>
          <cell r="D218">
            <v>69</v>
          </cell>
          <cell r="E218">
            <v>64</v>
          </cell>
          <cell r="F218">
            <v>244</v>
          </cell>
          <cell r="G218"/>
          <cell r="H218">
            <v>133</v>
          </cell>
          <cell r="I218">
            <v>377</v>
          </cell>
        </row>
        <row r="219">
          <cell r="A219" t="str">
            <v>ARPP</v>
          </cell>
          <cell r="B219" t="str">
            <v>AR</v>
          </cell>
          <cell r="C219" t="str">
            <v>PP</v>
          </cell>
          <cell r="D219">
            <v>181</v>
          </cell>
          <cell r="E219">
            <v>62</v>
          </cell>
          <cell r="F219">
            <v>210</v>
          </cell>
          <cell r="G219"/>
          <cell r="H219">
            <v>243</v>
          </cell>
          <cell r="I219">
            <v>453</v>
          </cell>
        </row>
        <row r="220">
          <cell r="A220" t="str">
            <v>----  Argentina: Buenos Aires ----</v>
          </cell>
          <cell r="C220" t="str">
            <v>----  Argentina: Buenos Aires ----</v>
          </cell>
          <cell r="D220"/>
          <cell r="E220"/>
          <cell r="F220"/>
          <cell r="G220"/>
          <cell r="H220"/>
          <cell r="I220"/>
        </row>
        <row r="221">
          <cell r="A221" t="str">
            <v>ABBD</v>
          </cell>
          <cell r="B221" t="str">
            <v>AB</v>
          </cell>
          <cell r="C221" t="str">
            <v>BD</v>
          </cell>
          <cell r="D221">
            <v>630</v>
          </cell>
          <cell r="E221">
            <v>42</v>
          </cell>
          <cell r="F221">
            <v>334</v>
          </cell>
          <cell r="G221"/>
          <cell r="H221">
            <v>672</v>
          </cell>
          <cell r="I221">
            <v>1006</v>
          </cell>
        </row>
        <row r="222">
          <cell r="A222" t="str">
            <v>ABBM</v>
          </cell>
          <cell r="B222" t="str">
            <v>AB</v>
          </cell>
          <cell r="C222" t="str">
            <v>BM</v>
          </cell>
          <cell r="D222">
            <v>558</v>
          </cell>
          <cell r="E222">
            <v>39</v>
          </cell>
          <cell r="F222">
            <v>316</v>
          </cell>
          <cell r="G222"/>
          <cell r="H222">
            <v>597</v>
          </cell>
          <cell r="I222">
            <v>913</v>
          </cell>
        </row>
        <row r="223">
          <cell r="A223" t="str">
            <v>ABSM</v>
          </cell>
          <cell r="B223" t="str">
            <v>AB</v>
          </cell>
          <cell r="C223" t="str">
            <v>SM</v>
          </cell>
          <cell r="D223">
            <v>440</v>
          </cell>
          <cell r="E223">
            <v>36</v>
          </cell>
          <cell r="F223">
            <v>296</v>
          </cell>
          <cell r="G223"/>
          <cell r="H223">
            <v>476</v>
          </cell>
          <cell r="I223">
            <v>772</v>
          </cell>
        </row>
        <row r="224">
          <cell r="A224" t="str">
            <v>ABML</v>
          </cell>
          <cell r="B224" t="str">
            <v>AB</v>
          </cell>
          <cell r="C224" t="str">
            <v>ML</v>
          </cell>
          <cell r="D224">
            <v>361</v>
          </cell>
          <cell r="E224">
            <v>35</v>
          </cell>
          <cell r="F224">
            <v>282</v>
          </cell>
          <cell r="G224"/>
          <cell r="H224">
            <v>396</v>
          </cell>
          <cell r="I224">
            <v>678</v>
          </cell>
        </row>
        <row r="225">
          <cell r="A225" t="str">
            <v>ABSC</v>
          </cell>
          <cell r="B225" t="str">
            <v>AB</v>
          </cell>
          <cell r="C225" t="str">
            <v>SC</v>
          </cell>
          <cell r="D225">
            <v>317</v>
          </cell>
          <cell r="E225">
            <v>21</v>
          </cell>
          <cell r="F225">
            <v>275</v>
          </cell>
          <cell r="G225"/>
          <cell r="H225">
            <v>338</v>
          </cell>
          <cell r="I225">
            <v>613</v>
          </cell>
        </row>
        <row r="226">
          <cell r="A226" t="str">
            <v>ABCL</v>
          </cell>
          <cell r="B226" t="str">
            <v>AB</v>
          </cell>
          <cell r="C226" t="str">
            <v>CL</v>
          </cell>
          <cell r="D226">
            <v>268</v>
          </cell>
          <cell r="E226">
            <v>21</v>
          </cell>
          <cell r="F226">
            <v>265</v>
          </cell>
          <cell r="G226"/>
          <cell r="H226">
            <v>289</v>
          </cell>
          <cell r="I226">
            <v>554</v>
          </cell>
        </row>
        <row r="227">
          <cell r="A227" t="str">
            <v>ABSE</v>
          </cell>
          <cell r="B227" t="str">
            <v>AB</v>
          </cell>
          <cell r="C227" t="str">
            <v>SE</v>
          </cell>
          <cell r="D227">
            <v>229</v>
          </cell>
          <cell r="E227">
            <v>20</v>
          </cell>
          <cell r="F227">
            <v>259</v>
          </cell>
          <cell r="G227"/>
          <cell r="H227">
            <v>249</v>
          </cell>
          <cell r="I227">
            <v>508</v>
          </cell>
        </row>
        <row r="228">
          <cell r="A228" t="str">
            <v>ABEN</v>
          </cell>
          <cell r="B228" t="str">
            <v>AB</v>
          </cell>
          <cell r="C228" t="str">
            <v>EN</v>
          </cell>
          <cell r="D228">
            <v>192</v>
          </cell>
          <cell r="E228">
            <v>17</v>
          </cell>
          <cell r="F228">
            <v>252</v>
          </cell>
          <cell r="G228"/>
          <cell r="H228">
            <v>209</v>
          </cell>
          <cell r="I228">
            <v>461</v>
          </cell>
        </row>
        <row r="229">
          <cell r="A229" t="str">
            <v>ABST</v>
          </cell>
          <cell r="B229" t="str">
            <v>AB</v>
          </cell>
          <cell r="C229" t="str">
            <v>ST</v>
          </cell>
          <cell r="D229">
            <v>154</v>
          </cell>
          <cell r="E229">
            <v>18</v>
          </cell>
          <cell r="F229">
            <v>250</v>
          </cell>
          <cell r="G229"/>
          <cell r="H229">
            <v>172</v>
          </cell>
          <cell r="I229">
            <v>422</v>
          </cell>
        </row>
        <row r="230">
          <cell r="A230" t="str">
            <v>ABTL</v>
          </cell>
          <cell r="B230" t="str">
            <v>AB</v>
          </cell>
          <cell r="C230" t="str">
            <v>TL</v>
          </cell>
          <cell r="D230">
            <v>119</v>
          </cell>
          <cell r="E230">
            <v>32</v>
          </cell>
          <cell r="F230">
            <v>246</v>
          </cell>
          <cell r="G230"/>
          <cell r="H230">
            <v>151</v>
          </cell>
          <cell r="I230">
            <v>397</v>
          </cell>
        </row>
        <row r="231">
          <cell r="A231" t="str">
            <v>ABJT</v>
          </cell>
          <cell r="B231" t="str">
            <v>AB</v>
          </cell>
          <cell r="C231" t="str">
            <v>JT</v>
          </cell>
          <cell r="D231">
            <v>86</v>
          </cell>
          <cell r="E231">
            <v>47</v>
          </cell>
          <cell r="F231">
            <v>241</v>
          </cell>
          <cell r="G231"/>
          <cell r="H231">
            <v>133</v>
          </cell>
          <cell r="I231">
            <v>374</v>
          </cell>
        </row>
        <row r="232">
          <cell r="A232" t="str">
            <v>ABIN</v>
          </cell>
          <cell r="B232" t="str">
            <v>AB</v>
          </cell>
          <cell r="C232" t="str">
            <v>IN</v>
          </cell>
          <cell r="D232">
            <v>76</v>
          </cell>
          <cell r="E232">
            <v>57</v>
          </cell>
          <cell r="F232">
            <v>244</v>
          </cell>
          <cell r="G232"/>
          <cell r="H232">
            <v>133</v>
          </cell>
          <cell r="I232">
            <v>377</v>
          </cell>
        </row>
        <row r="233">
          <cell r="A233" t="str">
            <v>ABPP</v>
          </cell>
          <cell r="B233" t="str">
            <v>AB</v>
          </cell>
          <cell r="C233" t="str">
            <v>PP</v>
          </cell>
          <cell r="D233">
            <v>191</v>
          </cell>
          <cell r="E233">
            <v>52</v>
          </cell>
          <cell r="F233">
            <v>210</v>
          </cell>
          <cell r="G233"/>
          <cell r="H233">
            <v>243</v>
          </cell>
          <cell r="I233">
            <v>453</v>
          </cell>
        </row>
        <row r="234">
          <cell r="A234" t="str">
            <v>----  Argentina: Parana ----</v>
          </cell>
          <cell r="C234" t="str">
            <v>----  Argentina: Parana ----</v>
          </cell>
          <cell r="D234"/>
          <cell r="E234"/>
          <cell r="F234"/>
          <cell r="G234"/>
          <cell r="H234"/>
          <cell r="I234"/>
        </row>
        <row r="235">
          <cell r="A235" t="str">
            <v>APBD</v>
          </cell>
          <cell r="B235" t="str">
            <v>AP</v>
          </cell>
          <cell r="C235" t="str">
            <v>BD</v>
          </cell>
          <cell r="D235">
            <v>599</v>
          </cell>
          <cell r="E235">
            <v>73</v>
          </cell>
          <cell r="F235">
            <v>334</v>
          </cell>
          <cell r="G235"/>
          <cell r="H235">
            <v>672</v>
          </cell>
          <cell r="I235">
            <v>1006</v>
          </cell>
        </row>
        <row r="236">
          <cell r="A236" t="str">
            <v>APBM</v>
          </cell>
          <cell r="B236" t="str">
            <v>AP</v>
          </cell>
          <cell r="C236" t="str">
            <v>BM</v>
          </cell>
          <cell r="D236">
            <v>512</v>
          </cell>
          <cell r="E236">
            <v>85</v>
          </cell>
          <cell r="F236">
            <v>316</v>
          </cell>
          <cell r="G236"/>
          <cell r="H236">
            <v>597</v>
          </cell>
          <cell r="I236">
            <v>913</v>
          </cell>
        </row>
        <row r="237">
          <cell r="A237" t="str">
            <v>APSM</v>
          </cell>
          <cell r="B237" t="str">
            <v>AP</v>
          </cell>
          <cell r="C237" t="str">
            <v>SM</v>
          </cell>
          <cell r="D237">
            <v>425</v>
          </cell>
          <cell r="E237">
            <v>51</v>
          </cell>
          <cell r="F237">
            <v>296</v>
          </cell>
          <cell r="G237"/>
          <cell r="H237">
            <v>476</v>
          </cell>
          <cell r="I237">
            <v>772</v>
          </cell>
        </row>
        <row r="238">
          <cell r="A238" t="str">
            <v>APML</v>
          </cell>
          <cell r="B238" t="str">
            <v>AP</v>
          </cell>
          <cell r="C238" t="str">
            <v>ML</v>
          </cell>
          <cell r="D238">
            <v>352</v>
          </cell>
          <cell r="E238">
            <v>44</v>
          </cell>
          <cell r="F238">
            <v>282</v>
          </cell>
          <cell r="G238"/>
          <cell r="H238">
            <v>396</v>
          </cell>
          <cell r="I238">
            <v>678</v>
          </cell>
        </row>
        <row r="239">
          <cell r="A239" t="str">
            <v>APSC</v>
          </cell>
          <cell r="B239" t="str">
            <v>AP</v>
          </cell>
          <cell r="C239" t="str">
            <v>SC</v>
          </cell>
          <cell r="D239">
            <v>291</v>
          </cell>
          <cell r="E239">
            <v>47</v>
          </cell>
          <cell r="F239">
            <v>275</v>
          </cell>
          <cell r="G239"/>
          <cell r="H239">
            <v>338</v>
          </cell>
          <cell r="I239">
            <v>613</v>
          </cell>
        </row>
        <row r="240">
          <cell r="A240" t="str">
            <v>APCL</v>
          </cell>
          <cell r="B240" t="str">
            <v>AP</v>
          </cell>
          <cell r="C240" t="str">
            <v>CL</v>
          </cell>
          <cell r="D240">
            <v>246</v>
          </cell>
          <cell r="E240">
            <v>43</v>
          </cell>
          <cell r="F240">
            <v>265</v>
          </cell>
          <cell r="G240"/>
          <cell r="H240">
            <v>289</v>
          </cell>
          <cell r="I240">
            <v>554</v>
          </cell>
        </row>
        <row r="241">
          <cell r="A241" t="str">
            <v>APSE</v>
          </cell>
          <cell r="B241" t="str">
            <v>AP</v>
          </cell>
          <cell r="C241" t="str">
            <v>SE</v>
          </cell>
          <cell r="D241">
            <v>208</v>
          </cell>
          <cell r="E241">
            <v>41</v>
          </cell>
          <cell r="F241">
            <v>259</v>
          </cell>
          <cell r="G241"/>
          <cell r="H241">
            <v>249</v>
          </cell>
          <cell r="I241">
            <v>508</v>
          </cell>
        </row>
        <row r="242">
          <cell r="A242" t="str">
            <v>APEN</v>
          </cell>
          <cell r="B242" t="str">
            <v>AP</v>
          </cell>
          <cell r="C242" t="str">
            <v>EN</v>
          </cell>
          <cell r="D242">
            <v>174</v>
          </cell>
          <cell r="E242">
            <v>35</v>
          </cell>
          <cell r="F242">
            <v>252</v>
          </cell>
          <cell r="G242"/>
          <cell r="H242">
            <v>209</v>
          </cell>
          <cell r="I242">
            <v>461</v>
          </cell>
        </row>
        <row r="243">
          <cell r="A243" t="str">
            <v>APST</v>
          </cell>
          <cell r="B243" t="str">
            <v>AP</v>
          </cell>
          <cell r="C243" t="str">
            <v>ST</v>
          </cell>
          <cell r="D243">
            <v>140</v>
          </cell>
          <cell r="E243">
            <v>32</v>
          </cell>
          <cell r="F243">
            <v>250</v>
          </cell>
          <cell r="G243"/>
          <cell r="H243">
            <v>172</v>
          </cell>
          <cell r="I243">
            <v>422</v>
          </cell>
        </row>
        <row r="244">
          <cell r="A244" t="str">
            <v>APTL</v>
          </cell>
          <cell r="B244" t="str">
            <v>AP</v>
          </cell>
          <cell r="C244" t="str">
            <v>TL</v>
          </cell>
          <cell r="D244">
            <v>108</v>
          </cell>
          <cell r="E244">
            <v>43</v>
          </cell>
          <cell r="F244">
            <v>246</v>
          </cell>
          <cell r="G244"/>
          <cell r="H244">
            <v>151</v>
          </cell>
          <cell r="I244">
            <v>397</v>
          </cell>
        </row>
        <row r="245">
          <cell r="A245" t="str">
            <v>APJT</v>
          </cell>
          <cell r="B245" t="str">
            <v>AP</v>
          </cell>
          <cell r="C245" t="str">
            <v>JT</v>
          </cell>
          <cell r="D245">
            <v>78</v>
          </cell>
          <cell r="E245">
            <v>55</v>
          </cell>
          <cell r="F245">
            <v>241</v>
          </cell>
          <cell r="G245"/>
          <cell r="H245">
            <v>133</v>
          </cell>
          <cell r="I245">
            <v>374</v>
          </cell>
        </row>
        <row r="246">
          <cell r="A246" t="str">
            <v>APIN</v>
          </cell>
          <cell r="B246" t="str">
            <v>AP</v>
          </cell>
          <cell r="C246" t="str">
            <v>IN</v>
          </cell>
          <cell r="D246">
            <v>69</v>
          </cell>
          <cell r="E246">
            <v>64</v>
          </cell>
          <cell r="F246">
            <v>244</v>
          </cell>
          <cell r="G246"/>
          <cell r="H246">
            <v>133</v>
          </cell>
          <cell r="I246">
            <v>377</v>
          </cell>
        </row>
        <row r="247">
          <cell r="A247" t="str">
            <v>APPP</v>
          </cell>
          <cell r="B247" t="str">
            <v>AP</v>
          </cell>
          <cell r="C247" t="str">
            <v>PP</v>
          </cell>
          <cell r="D247">
            <v>181</v>
          </cell>
          <cell r="E247">
            <v>62</v>
          </cell>
          <cell r="F247">
            <v>210</v>
          </cell>
          <cell r="G247"/>
          <cell r="H247">
            <v>243</v>
          </cell>
          <cell r="I247">
            <v>453</v>
          </cell>
        </row>
        <row r="248">
          <cell r="A248" t="str">
            <v>----  Argentina: Cordoba ----</v>
          </cell>
          <cell r="C248" t="str">
            <v>----  Argentina: Cordoba ----</v>
          </cell>
          <cell r="D248"/>
          <cell r="E248"/>
          <cell r="F248"/>
          <cell r="G248"/>
          <cell r="H248"/>
          <cell r="I248"/>
        </row>
        <row r="249">
          <cell r="A249" t="str">
            <v>ACBD</v>
          </cell>
          <cell r="B249" t="str">
            <v>AC</v>
          </cell>
          <cell r="C249" t="str">
            <v>BD</v>
          </cell>
          <cell r="D249">
            <v>599</v>
          </cell>
          <cell r="E249">
            <v>73</v>
          </cell>
          <cell r="F249">
            <v>334</v>
          </cell>
          <cell r="G249"/>
          <cell r="H249">
            <v>672</v>
          </cell>
          <cell r="I249">
            <v>1006</v>
          </cell>
        </row>
        <row r="250">
          <cell r="A250" t="str">
            <v>ACBM</v>
          </cell>
          <cell r="B250" t="str">
            <v>AC</v>
          </cell>
          <cell r="C250" t="str">
            <v>BM</v>
          </cell>
          <cell r="D250">
            <v>512</v>
          </cell>
          <cell r="E250">
            <v>85</v>
          </cell>
          <cell r="F250">
            <v>316</v>
          </cell>
          <cell r="G250"/>
          <cell r="H250">
            <v>597</v>
          </cell>
          <cell r="I250">
            <v>913</v>
          </cell>
        </row>
        <row r="251">
          <cell r="A251" t="str">
            <v>ACSM</v>
          </cell>
          <cell r="B251" t="str">
            <v>AC</v>
          </cell>
          <cell r="C251" t="str">
            <v>SM</v>
          </cell>
          <cell r="D251">
            <v>425</v>
          </cell>
          <cell r="E251">
            <v>51</v>
          </cell>
          <cell r="F251">
            <v>296</v>
          </cell>
          <cell r="G251"/>
          <cell r="H251">
            <v>476</v>
          </cell>
          <cell r="I251">
            <v>772</v>
          </cell>
        </row>
        <row r="252">
          <cell r="A252" t="str">
            <v>ACML</v>
          </cell>
          <cell r="B252" t="str">
            <v>AC</v>
          </cell>
          <cell r="C252" t="str">
            <v>ML</v>
          </cell>
          <cell r="D252">
            <v>352</v>
          </cell>
          <cell r="E252">
            <v>44</v>
          </cell>
          <cell r="F252">
            <v>282</v>
          </cell>
          <cell r="G252"/>
          <cell r="H252">
            <v>396</v>
          </cell>
          <cell r="I252">
            <v>678</v>
          </cell>
        </row>
        <row r="253">
          <cell r="A253" t="str">
            <v>ACSC</v>
          </cell>
          <cell r="B253" t="str">
            <v>AC</v>
          </cell>
          <cell r="C253" t="str">
            <v>SC</v>
          </cell>
          <cell r="D253">
            <v>291</v>
          </cell>
          <cell r="E253">
            <v>47</v>
          </cell>
          <cell r="F253">
            <v>275</v>
          </cell>
          <cell r="G253"/>
          <cell r="H253">
            <v>338</v>
          </cell>
          <cell r="I253">
            <v>613</v>
          </cell>
        </row>
        <row r="254">
          <cell r="A254" t="str">
            <v>ACCL</v>
          </cell>
          <cell r="B254" t="str">
            <v>AC</v>
          </cell>
          <cell r="C254" t="str">
            <v>CL</v>
          </cell>
          <cell r="D254">
            <v>246</v>
          </cell>
          <cell r="E254">
            <v>43</v>
          </cell>
          <cell r="F254">
            <v>265</v>
          </cell>
          <cell r="G254"/>
          <cell r="H254">
            <v>289</v>
          </cell>
          <cell r="I254">
            <v>554</v>
          </cell>
        </row>
        <row r="255">
          <cell r="A255" t="str">
            <v>ACSE</v>
          </cell>
          <cell r="B255" t="str">
            <v>AC</v>
          </cell>
          <cell r="C255" t="str">
            <v>SE</v>
          </cell>
          <cell r="D255">
            <v>208</v>
          </cell>
          <cell r="E255">
            <v>41</v>
          </cell>
          <cell r="F255">
            <v>259</v>
          </cell>
          <cell r="G255"/>
          <cell r="H255">
            <v>249</v>
          </cell>
          <cell r="I255">
            <v>508</v>
          </cell>
        </row>
        <row r="256">
          <cell r="A256" t="str">
            <v>ACEN</v>
          </cell>
          <cell r="B256" t="str">
            <v>AC</v>
          </cell>
          <cell r="C256" t="str">
            <v>EN</v>
          </cell>
          <cell r="D256">
            <v>174</v>
          </cell>
          <cell r="E256">
            <v>35</v>
          </cell>
          <cell r="F256">
            <v>252</v>
          </cell>
          <cell r="G256"/>
          <cell r="H256">
            <v>209</v>
          </cell>
          <cell r="I256">
            <v>461</v>
          </cell>
        </row>
        <row r="257">
          <cell r="A257" t="str">
            <v>ACST</v>
          </cell>
          <cell r="B257" t="str">
            <v>AC</v>
          </cell>
          <cell r="C257" t="str">
            <v>ST</v>
          </cell>
          <cell r="D257">
            <v>140</v>
          </cell>
          <cell r="E257">
            <v>32</v>
          </cell>
          <cell r="F257">
            <v>250</v>
          </cell>
          <cell r="G257"/>
          <cell r="H257">
            <v>172</v>
          </cell>
          <cell r="I257">
            <v>422</v>
          </cell>
        </row>
        <row r="258">
          <cell r="A258" t="str">
            <v>ACTL</v>
          </cell>
          <cell r="B258" t="str">
            <v>AC</v>
          </cell>
          <cell r="C258" t="str">
            <v>TL</v>
          </cell>
          <cell r="D258">
            <v>108</v>
          </cell>
          <cell r="E258">
            <v>43</v>
          </cell>
          <cell r="F258">
            <v>246</v>
          </cell>
          <cell r="G258"/>
          <cell r="H258">
            <v>151</v>
          </cell>
          <cell r="I258">
            <v>397</v>
          </cell>
        </row>
        <row r="259">
          <cell r="A259" t="str">
            <v>ACJT</v>
          </cell>
          <cell r="B259" t="str">
            <v>AC</v>
          </cell>
          <cell r="C259" t="str">
            <v>JT</v>
          </cell>
          <cell r="D259">
            <v>78</v>
          </cell>
          <cell r="E259">
            <v>55</v>
          </cell>
          <cell r="F259">
            <v>241</v>
          </cell>
          <cell r="G259"/>
          <cell r="H259">
            <v>133</v>
          </cell>
          <cell r="I259">
            <v>374</v>
          </cell>
        </row>
        <row r="260">
          <cell r="A260" t="str">
            <v>ACIN</v>
          </cell>
          <cell r="B260" t="str">
            <v>AC</v>
          </cell>
          <cell r="C260" t="str">
            <v>IN</v>
          </cell>
          <cell r="D260">
            <v>69</v>
          </cell>
          <cell r="E260">
            <v>64</v>
          </cell>
          <cell r="F260">
            <v>244</v>
          </cell>
          <cell r="G260"/>
          <cell r="H260">
            <v>133</v>
          </cell>
          <cell r="I260">
            <v>377</v>
          </cell>
        </row>
        <row r="261">
          <cell r="A261" t="str">
            <v>ACPP</v>
          </cell>
          <cell r="B261" t="str">
            <v>AC</v>
          </cell>
          <cell r="C261" t="str">
            <v>PP</v>
          </cell>
          <cell r="D261">
            <v>181</v>
          </cell>
          <cell r="E261">
            <v>62</v>
          </cell>
          <cell r="F261">
            <v>210</v>
          </cell>
          <cell r="G261"/>
          <cell r="H261">
            <v>243</v>
          </cell>
          <cell r="I261">
            <v>453</v>
          </cell>
        </row>
        <row r="262">
          <cell r="A262" t="str">
            <v>----  Venezuela: Caracas ----</v>
          </cell>
          <cell r="C262" t="str">
            <v>----  Venezuela: Caracas ----</v>
          </cell>
          <cell r="D262"/>
          <cell r="E262"/>
          <cell r="F262"/>
          <cell r="G262"/>
          <cell r="H262"/>
          <cell r="I262"/>
        </row>
        <row r="263">
          <cell r="A263" t="str">
            <v>VEBD</v>
          </cell>
          <cell r="B263" t="str">
            <v>VE</v>
          </cell>
          <cell r="C263" t="str">
            <v>BD</v>
          </cell>
          <cell r="D263">
            <v>495</v>
          </cell>
          <cell r="E263">
            <v>177</v>
          </cell>
          <cell r="F263">
            <v>334</v>
          </cell>
          <cell r="G263"/>
          <cell r="H263">
            <v>672</v>
          </cell>
          <cell r="I263">
            <v>1006</v>
          </cell>
        </row>
        <row r="264">
          <cell r="A264" t="str">
            <v>VEBM</v>
          </cell>
          <cell r="B264" t="str">
            <v>VE</v>
          </cell>
          <cell r="C264" t="str">
            <v>BM</v>
          </cell>
          <cell r="D264">
            <v>420</v>
          </cell>
          <cell r="E264">
            <v>177</v>
          </cell>
          <cell r="F264">
            <v>316</v>
          </cell>
          <cell r="G264"/>
          <cell r="H264">
            <v>597</v>
          </cell>
          <cell r="I264">
            <v>913</v>
          </cell>
        </row>
        <row r="265">
          <cell r="A265" t="str">
            <v>VESM</v>
          </cell>
          <cell r="B265" t="str">
            <v>VE</v>
          </cell>
          <cell r="C265" t="str">
            <v>SM</v>
          </cell>
          <cell r="D265">
            <v>354</v>
          </cell>
          <cell r="E265">
            <v>122</v>
          </cell>
          <cell r="F265">
            <v>296</v>
          </cell>
          <cell r="G265"/>
          <cell r="H265">
            <v>476</v>
          </cell>
          <cell r="I265">
            <v>772</v>
          </cell>
        </row>
        <row r="266">
          <cell r="A266" t="str">
            <v>VEML</v>
          </cell>
          <cell r="B266" t="str">
            <v>VE</v>
          </cell>
          <cell r="C266" t="str">
            <v>ML</v>
          </cell>
          <cell r="D266">
            <v>310</v>
          </cell>
          <cell r="E266">
            <v>86</v>
          </cell>
          <cell r="F266">
            <v>282</v>
          </cell>
          <cell r="G266"/>
          <cell r="H266">
            <v>396</v>
          </cell>
          <cell r="I266">
            <v>678</v>
          </cell>
        </row>
        <row r="267">
          <cell r="A267" t="str">
            <v>VESC</v>
          </cell>
          <cell r="B267" t="str">
            <v>VE</v>
          </cell>
          <cell r="C267" t="str">
            <v>SC</v>
          </cell>
          <cell r="D267">
            <v>246</v>
          </cell>
          <cell r="E267">
            <v>92</v>
          </cell>
          <cell r="F267">
            <v>275</v>
          </cell>
          <cell r="G267"/>
          <cell r="H267">
            <v>338</v>
          </cell>
          <cell r="I267">
            <v>613</v>
          </cell>
        </row>
        <row r="268">
          <cell r="A268" t="str">
            <v>VECL</v>
          </cell>
          <cell r="B268" t="str">
            <v>VE</v>
          </cell>
          <cell r="C268" t="str">
            <v>CL</v>
          </cell>
          <cell r="D268">
            <v>218</v>
          </cell>
          <cell r="E268">
            <v>71</v>
          </cell>
          <cell r="F268">
            <v>265</v>
          </cell>
          <cell r="G268"/>
          <cell r="H268">
            <v>289</v>
          </cell>
          <cell r="I268">
            <v>554</v>
          </cell>
        </row>
        <row r="269">
          <cell r="A269" t="str">
            <v>VESE</v>
          </cell>
          <cell r="B269" t="str">
            <v>VE</v>
          </cell>
          <cell r="C269" t="str">
            <v>SE</v>
          </cell>
          <cell r="D269">
            <v>176</v>
          </cell>
          <cell r="E269">
            <v>73</v>
          </cell>
          <cell r="F269">
            <v>259</v>
          </cell>
          <cell r="G269"/>
          <cell r="H269">
            <v>249</v>
          </cell>
          <cell r="I269">
            <v>508</v>
          </cell>
        </row>
        <row r="270">
          <cell r="A270" t="str">
            <v>VEEN</v>
          </cell>
          <cell r="B270" t="str">
            <v>VE</v>
          </cell>
          <cell r="C270" t="str">
            <v>EN</v>
          </cell>
          <cell r="D270">
            <v>137</v>
          </cell>
          <cell r="E270">
            <v>72</v>
          </cell>
          <cell r="F270">
            <v>252</v>
          </cell>
          <cell r="G270"/>
          <cell r="H270">
            <v>209</v>
          </cell>
          <cell r="I270">
            <v>461</v>
          </cell>
        </row>
        <row r="271">
          <cell r="A271" t="str">
            <v>VEST</v>
          </cell>
          <cell r="B271" t="str">
            <v>VE</v>
          </cell>
          <cell r="C271" t="str">
            <v>ST</v>
          </cell>
          <cell r="D271">
            <v>112</v>
          </cell>
          <cell r="E271">
            <v>60</v>
          </cell>
          <cell r="F271">
            <v>250</v>
          </cell>
          <cell r="G271"/>
          <cell r="H271">
            <v>172</v>
          </cell>
          <cell r="I271">
            <v>422</v>
          </cell>
        </row>
        <row r="272">
          <cell r="A272" t="str">
            <v>VETL</v>
          </cell>
          <cell r="B272" t="str">
            <v>VE</v>
          </cell>
          <cell r="C272" t="str">
            <v>TL</v>
          </cell>
          <cell r="D272">
            <v>95</v>
          </cell>
          <cell r="E272">
            <v>56</v>
          </cell>
          <cell r="F272">
            <v>246</v>
          </cell>
          <cell r="G272"/>
          <cell r="H272">
            <v>151</v>
          </cell>
          <cell r="I272">
            <v>397</v>
          </cell>
        </row>
        <row r="273">
          <cell r="A273" t="str">
            <v>VEJT</v>
          </cell>
          <cell r="B273" t="str">
            <v>VE</v>
          </cell>
          <cell r="C273" t="str">
            <v>JT</v>
          </cell>
          <cell r="D273">
            <v>73</v>
          </cell>
          <cell r="E273">
            <v>60</v>
          </cell>
          <cell r="F273">
            <v>241</v>
          </cell>
          <cell r="G273"/>
          <cell r="H273">
            <v>133</v>
          </cell>
          <cell r="I273">
            <v>374</v>
          </cell>
        </row>
        <row r="274">
          <cell r="A274" t="str">
            <v>VEIN</v>
          </cell>
          <cell r="B274" t="str">
            <v>VE</v>
          </cell>
          <cell r="C274" t="str">
            <v>IN</v>
          </cell>
          <cell r="D274">
            <v>67</v>
          </cell>
          <cell r="E274">
            <v>66</v>
          </cell>
          <cell r="F274">
            <v>244</v>
          </cell>
          <cell r="G274"/>
          <cell r="H274">
            <v>133</v>
          </cell>
          <cell r="I274">
            <v>377</v>
          </cell>
        </row>
        <row r="275">
          <cell r="A275" t="str">
            <v>VEPP</v>
          </cell>
          <cell r="B275" t="str">
            <v>VE</v>
          </cell>
          <cell r="C275" t="str">
            <v>PP</v>
          </cell>
          <cell r="D275">
            <v>119</v>
          </cell>
          <cell r="E275">
            <v>124</v>
          </cell>
          <cell r="F275">
            <v>210</v>
          </cell>
          <cell r="G275"/>
          <cell r="H275">
            <v>243</v>
          </cell>
          <cell r="I275">
            <v>453</v>
          </cell>
        </row>
        <row r="276">
          <cell r="A276" t="str">
            <v/>
          </cell>
          <cell r="C276"/>
          <cell r="D276"/>
          <cell r="E276"/>
          <cell r="F276"/>
          <cell r="G276"/>
          <cell r="H276"/>
          <cell r="I276"/>
        </row>
        <row r="277">
          <cell r="A277" t="str">
            <v>**************   US Tier 1  ****************</v>
          </cell>
          <cell r="C277" t="str">
            <v>**************   US Tier 1  ****************</v>
          </cell>
          <cell r="D277"/>
          <cell r="E277"/>
          <cell r="F277"/>
          <cell r="G277"/>
          <cell r="H277"/>
          <cell r="I277"/>
        </row>
        <row r="278">
          <cell r="A278" t="str">
            <v>----  US: New York/Atlanta/Santa Cruz/New Jersey ----</v>
          </cell>
          <cell r="C278" t="str">
            <v>----  US: New York/Atlanta/Santa Cruz/New Jersey ----</v>
          </cell>
          <cell r="D278"/>
          <cell r="E278"/>
          <cell r="F278"/>
          <cell r="G278"/>
          <cell r="H278"/>
          <cell r="I278"/>
        </row>
        <row r="279">
          <cell r="A279" t="str">
            <v>USDR</v>
          </cell>
          <cell r="B279" t="str">
            <v>US</v>
          </cell>
          <cell r="C279" t="str">
            <v>DR</v>
          </cell>
          <cell r="D279">
            <v>1454</v>
          </cell>
          <cell r="E279">
            <v>32</v>
          </cell>
          <cell r="F279">
            <v>0</v>
          </cell>
          <cell r="G279"/>
          <cell r="H279">
            <v>1486</v>
          </cell>
          <cell r="I279">
            <v>1486</v>
          </cell>
        </row>
        <row r="280">
          <cell r="A280" t="str">
            <v>USBD</v>
          </cell>
          <cell r="B280" t="str">
            <v>US</v>
          </cell>
          <cell r="C280" t="str">
            <v>BD</v>
          </cell>
          <cell r="D280">
            <v>1356</v>
          </cell>
          <cell r="E280">
            <v>21</v>
          </cell>
          <cell r="F280">
            <v>0</v>
          </cell>
          <cell r="G280"/>
          <cell r="H280">
            <v>1377</v>
          </cell>
          <cell r="I280">
            <v>1377</v>
          </cell>
        </row>
        <row r="281">
          <cell r="A281" t="str">
            <v>USBM</v>
          </cell>
          <cell r="B281" t="str">
            <v>US</v>
          </cell>
          <cell r="C281" t="str">
            <v>BM</v>
          </cell>
          <cell r="D281">
            <v>1254</v>
          </cell>
          <cell r="E281">
            <v>17</v>
          </cell>
          <cell r="F281">
            <v>0</v>
          </cell>
          <cell r="G281"/>
          <cell r="H281">
            <v>1271</v>
          </cell>
          <cell r="I281">
            <v>1271</v>
          </cell>
        </row>
        <row r="282">
          <cell r="A282" t="str">
            <v>USSM</v>
          </cell>
          <cell r="B282" t="str">
            <v>US</v>
          </cell>
          <cell r="C282" t="str">
            <v>SM</v>
          </cell>
          <cell r="D282">
            <v>1028</v>
          </cell>
          <cell r="E282">
            <v>44</v>
          </cell>
          <cell r="F282">
            <v>0</v>
          </cell>
          <cell r="G282"/>
          <cell r="H282">
            <v>1072</v>
          </cell>
          <cell r="I282">
            <v>1072</v>
          </cell>
        </row>
        <row r="283">
          <cell r="A283" t="str">
            <v>USML</v>
          </cell>
          <cell r="B283" t="str">
            <v>US</v>
          </cell>
          <cell r="C283" t="str">
            <v>ML</v>
          </cell>
          <cell r="D283">
            <v>877</v>
          </cell>
          <cell r="E283">
            <v>89</v>
          </cell>
          <cell r="F283">
            <v>0</v>
          </cell>
          <cell r="G283"/>
          <cell r="H283">
            <v>966</v>
          </cell>
          <cell r="I283">
            <v>966</v>
          </cell>
        </row>
        <row r="284">
          <cell r="A284" t="str">
            <v>USSC</v>
          </cell>
          <cell r="B284" t="str">
            <v>US</v>
          </cell>
          <cell r="C284" t="str">
            <v>SC</v>
          </cell>
          <cell r="D284">
            <v>729</v>
          </cell>
          <cell r="E284">
            <v>68</v>
          </cell>
          <cell r="F284">
            <v>0</v>
          </cell>
          <cell r="G284"/>
          <cell r="H284">
            <v>797</v>
          </cell>
          <cell r="I284">
            <v>797</v>
          </cell>
        </row>
        <row r="285">
          <cell r="A285" t="str">
            <v>USCL</v>
          </cell>
          <cell r="B285" t="str">
            <v>US</v>
          </cell>
          <cell r="C285" t="str">
            <v>CL</v>
          </cell>
          <cell r="D285">
            <v>640</v>
          </cell>
          <cell r="E285">
            <v>21</v>
          </cell>
          <cell r="F285">
            <v>0</v>
          </cell>
          <cell r="G285"/>
          <cell r="H285">
            <v>661</v>
          </cell>
          <cell r="I285">
            <v>661</v>
          </cell>
        </row>
        <row r="286">
          <cell r="A286" t="str">
            <v>USSE</v>
          </cell>
          <cell r="B286" t="str">
            <v>US</v>
          </cell>
          <cell r="C286" t="str">
            <v>SE</v>
          </cell>
          <cell r="D286">
            <v>552</v>
          </cell>
          <cell r="E286">
            <v>19</v>
          </cell>
          <cell r="F286">
            <v>0</v>
          </cell>
          <cell r="G286"/>
          <cell r="H286">
            <v>571</v>
          </cell>
          <cell r="I286">
            <v>571</v>
          </cell>
        </row>
        <row r="287">
          <cell r="A287" t="str">
            <v>USEN</v>
          </cell>
          <cell r="B287" t="str">
            <v>US</v>
          </cell>
          <cell r="C287" t="str">
            <v>EN</v>
          </cell>
          <cell r="D287">
            <v>432</v>
          </cell>
          <cell r="E287">
            <v>38</v>
          </cell>
          <cell r="F287">
            <v>0</v>
          </cell>
          <cell r="G287"/>
          <cell r="H287">
            <v>470</v>
          </cell>
          <cell r="I287">
            <v>470</v>
          </cell>
        </row>
        <row r="288">
          <cell r="A288" t="str">
            <v>USST</v>
          </cell>
          <cell r="B288" t="str">
            <v>US</v>
          </cell>
          <cell r="C288" t="str">
            <v>ST</v>
          </cell>
          <cell r="D288">
            <v>308</v>
          </cell>
          <cell r="E288">
            <v>55</v>
          </cell>
          <cell r="F288">
            <v>0</v>
          </cell>
          <cell r="G288"/>
          <cell r="H288">
            <v>363</v>
          </cell>
          <cell r="I288">
            <v>363</v>
          </cell>
        </row>
        <row r="289">
          <cell r="A289" t="str">
            <v>USTL</v>
          </cell>
          <cell r="B289" t="str">
            <v>US</v>
          </cell>
          <cell r="C289" t="str">
            <v>TL</v>
          </cell>
          <cell r="D289">
            <v>271</v>
          </cell>
          <cell r="E289">
            <v>29</v>
          </cell>
          <cell r="F289">
            <v>0</v>
          </cell>
          <cell r="G289"/>
          <cell r="H289">
            <v>300</v>
          </cell>
          <cell r="I289">
            <v>300</v>
          </cell>
        </row>
        <row r="290">
          <cell r="A290" t="str">
            <v>USJT</v>
          </cell>
          <cell r="B290" t="str">
            <v>US</v>
          </cell>
          <cell r="C290" t="str">
            <v>JT</v>
          </cell>
          <cell r="D290">
            <v>203</v>
          </cell>
          <cell r="E290">
            <v>18</v>
          </cell>
          <cell r="F290">
            <v>0</v>
          </cell>
          <cell r="G290"/>
          <cell r="H290">
            <v>221</v>
          </cell>
          <cell r="I290">
            <v>221</v>
          </cell>
        </row>
        <row r="291">
          <cell r="A291" t="str">
            <v>USIN</v>
          </cell>
          <cell r="B291" t="str">
            <v>US</v>
          </cell>
          <cell r="C291" t="str">
            <v>IN</v>
          </cell>
          <cell r="D291">
            <v>158</v>
          </cell>
          <cell r="E291">
            <v>30</v>
          </cell>
          <cell r="F291">
            <v>0</v>
          </cell>
          <cell r="G291"/>
          <cell r="H291">
            <v>188</v>
          </cell>
          <cell r="I291">
            <v>188</v>
          </cell>
        </row>
        <row r="292">
          <cell r="A292" t="str">
            <v>USPP</v>
          </cell>
          <cell r="B292" t="str">
            <v>US</v>
          </cell>
          <cell r="C292" t="str">
            <v>PP</v>
          </cell>
          <cell r="D292">
            <v>821</v>
          </cell>
          <cell r="E292">
            <v>87</v>
          </cell>
          <cell r="F292">
            <v>0</v>
          </cell>
          <cell r="G292"/>
          <cell r="H292">
            <v>908</v>
          </cell>
          <cell r="I292">
            <v>908</v>
          </cell>
        </row>
        <row r="293">
          <cell r="A293" t="str">
            <v/>
          </cell>
          <cell r="C293"/>
          <cell r="D293">
            <v>0</v>
          </cell>
          <cell r="E293">
            <v>0</v>
          </cell>
          <cell r="F293">
            <v>0</v>
          </cell>
          <cell r="G293"/>
          <cell r="H293"/>
          <cell r="I293"/>
        </row>
        <row r="294">
          <cell r="A294" t="str">
            <v>**************   WE Tier 1  ****************</v>
          </cell>
          <cell r="C294" t="str">
            <v>**************   WE Tier 1  ****************</v>
          </cell>
          <cell r="D294"/>
          <cell r="E294"/>
          <cell r="F294"/>
          <cell r="G294"/>
          <cell r="H294"/>
          <cell r="I294"/>
        </row>
        <row r="295">
          <cell r="A295" t="str">
            <v>----  Germany: Frankfurt  -----</v>
          </cell>
          <cell r="C295" t="str">
            <v>----  Germany: Frankfurt  -----</v>
          </cell>
          <cell r="D295"/>
          <cell r="E295"/>
          <cell r="F295"/>
          <cell r="G295"/>
          <cell r="H295"/>
          <cell r="I295"/>
        </row>
        <row r="296">
          <cell r="A296" t="str">
            <v>DEDR</v>
          </cell>
          <cell r="B296" t="str">
            <v>DE</v>
          </cell>
          <cell r="C296" t="str">
            <v>DR</v>
          </cell>
          <cell r="D296">
            <v>1433</v>
          </cell>
          <cell r="E296">
            <v>19</v>
          </cell>
          <cell r="F296">
            <v>0</v>
          </cell>
          <cell r="G296"/>
          <cell r="H296">
            <v>1452</v>
          </cell>
          <cell r="I296">
            <v>1452</v>
          </cell>
        </row>
        <row r="297">
          <cell r="A297" t="str">
            <v>DEBD</v>
          </cell>
          <cell r="B297" t="str">
            <v>DE</v>
          </cell>
          <cell r="C297" t="str">
            <v>BD</v>
          </cell>
          <cell r="D297">
            <v>1335</v>
          </cell>
          <cell r="E297">
            <v>14</v>
          </cell>
          <cell r="F297">
            <v>0</v>
          </cell>
          <cell r="G297"/>
          <cell r="H297">
            <v>1349</v>
          </cell>
          <cell r="I297">
            <v>1349</v>
          </cell>
        </row>
        <row r="298">
          <cell r="A298" t="str">
            <v>DEBM</v>
          </cell>
          <cell r="B298" t="str">
            <v>DE</v>
          </cell>
          <cell r="C298" t="str">
            <v>BM</v>
          </cell>
          <cell r="D298">
            <v>1220</v>
          </cell>
          <cell r="E298">
            <v>20</v>
          </cell>
          <cell r="F298">
            <v>0</v>
          </cell>
          <cell r="G298"/>
          <cell r="H298">
            <v>1240</v>
          </cell>
          <cell r="I298">
            <v>1240</v>
          </cell>
        </row>
        <row r="299">
          <cell r="A299" t="str">
            <v>DESM</v>
          </cell>
          <cell r="B299" t="str">
            <v>DE</v>
          </cell>
          <cell r="C299" t="str">
            <v>SM</v>
          </cell>
          <cell r="D299">
            <v>1013</v>
          </cell>
          <cell r="E299">
            <v>33</v>
          </cell>
          <cell r="F299">
            <v>0</v>
          </cell>
          <cell r="G299"/>
          <cell r="H299">
            <v>1046</v>
          </cell>
          <cell r="I299">
            <v>1046</v>
          </cell>
        </row>
        <row r="300">
          <cell r="A300" t="str">
            <v>DEML</v>
          </cell>
          <cell r="B300" t="str">
            <v>DE</v>
          </cell>
          <cell r="C300" t="str">
            <v>ML</v>
          </cell>
          <cell r="D300">
            <v>864</v>
          </cell>
          <cell r="E300">
            <v>78</v>
          </cell>
          <cell r="F300">
            <v>0</v>
          </cell>
          <cell r="G300"/>
          <cell r="H300">
            <v>942</v>
          </cell>
          <cell r="I300">
            <v>942</v>
          </cell>
        </row>
        <row r="301">
          <cell r="A301" t="str">
            <v>DESC</v>
          </cell>
          <cell r="B301" t="str">
            <v>DE</v>
          </cell>
          <cell r="C301" t="str">
            <v>SC</v>
          </cell>
          <cell r="D301">
            <v>718</v>
          </cell>
          <cell r="E301">
            <v>61</v>
          </cell>
          <cell r="F301">
            <v>0</v>
          </cell>
          <cell r="G301"/>
          <cell r="H301">
            <v>779</v>
          </cell>
          <cell r="I301">
            <v>779</v>
          </cell>
        </row>
        <row r="302">
          <cell r="A302" t="str">
            <v>DECL</v>
          </cell>
          <cell r="B302" t="str">
            <v>DE</v>
          </cell>
          <cell r="C302" t="str">
            <v>CL</v>
          </cell>
          <cell r="D302">
            <v>629</v>
          </cell>
          <cell r="E302">
            <v>17</v>
          </cell>
          <cell r="F302">
            <v>0</v>
          </cell>
          <cell r="G302"/>
          <cell r="H302">
            <v>646</v>
          </cell>
          <cell r="I302">
            <v>646</v>
          </cell>
        </row>
        <row r="303">
          <cell r="A303" t="str">
            <v>DESE</v>
          </cell>
          <cell r="B303" t="str">
            <v>DE</v>
          </cell>
          <cell r="C303" t="str">
            <v>SE</v>
          </cell>
          <cell r="D303">
            <v>543</v>
          </cell>
          <cell r="E303">
            <v>15</v>
          </cell>
          <cell r="F303">
            <v>0</v>
          </cell>
          <cell r="G303"/>
          <cell r="H303">
            <v>558</v>
          </cell>
          <cell r="I303">
            <v>558</v>
          </cell>
        </row>
        <row r="304">
          <cell r="A304" t="str">
            <v>DEEN</v>
          </cell>
          <cell r="B304" t="str">
            <v>DE</v>
          </cell>
          <cell r="C304" t="str">
            <v>EN</v>
          </cell>
          <cell r="D304">
            <v>425</v>
          </cell>
          <cell r="E304">
            <v>31</v>
          </cell>
          <cell r="F304">
            <v>0</v>
          </cell>
          <cell r="G304"/>
          <cell r="H304">
            <v>456</v>
          </cell>
          <cell r="I304">
            <v>456</v>
          </cell>
        </row>
        <row r="305">
          <cell r="A305" t="str">
            <v>DEST</v>
          </cell>
          <cell r="B305" t="str">
            <v>DE</v>
          </cell>
          <cell r="C305" t="str">
            <v>ST</v>
          </cell>
          <cell r="D305">
            <v>303</v>
          </cell>
          <cell r="E305">
            <v>51</v>
          </cell>
          <cell r="F305">
            <v>0</v>
          </cell>
          <cell r="G305"/>
          <cell r="H305">
            <v>354</v>
          </cell>
          <cell r="I305">
            <v>354</v>
          </cell>
        </row>
        <row r="306">
          <cell r="A306" t="str">
            <v>DETL</v>
          </cell>
          <cell r="B306" t="str">
            <v>DE</v>
          </cell>
          <cell r="C306" t="str">
            <v>TL</v>
          </cell>
          <cell r="D306">
            <v>268</v>
          </cell>
          <cell r="E306">
            <v>26</v>
          </cell>
          <cell r="F306">
            <v>0</v>
          </cell>
          <cell r="G306"/>
          <cell r="H306">
            <v>294</v>
          </cell>
          <cell r="I306">
            <v>294</v>
          </cell>
        </row>
        <row r="307">
          <cell r="A307" t="str">
            <v>DEJT</v>
          </cell>
          <cell r="B307" t="str">
            <v>DE</v>
          </cell>
          <cell r="C307" t="str">
            <v>JT</v>
          </cell>
          <cell r="D307">
            <v>200</v>
          </cell>
          <cell r="E307">
            <v>16</v>
          </cell>
          <cell r="F307">
            <v>0</v>
          </cell>
          <cell r="G307"/>
          <cell r="H307">
            <v>216</v>
          </cell>
          <cell r="I307">
            <v>216</v>
          </cell>
        </row>
        <row r="308">
          <cell r="A308" t="str">
            <v>DEIN</v>
          </cell>
          <cell r="B308" t="str">
            <v>DE</v>
          </cell>
          <cell r="C308" t="str">
            <v>IN</v>
          </cell>
          <cell r="D308">
            <v>156</v>
          </cell>
          <cell r="E308">
            <v>26</v>
          </cell>
          <cell r="F308">
            <v>0</v>
          </cell>
          <cell r="G308"/>
          <cell r="H308">
            <v>182</v>
          </cell>
          <cell r="I308">
            <v>182</v>
          </cell>
        </row>
        <row r="309">
          <cell r="A309" t="str">
            <v>DEPP</v>
          </cell>
          <cell r="B309" t="str">
            <v>DE</v>
          </cell>
          <cell r="C309" t="str">
            <v>PP</v>
          </cell>
          <cell r="D309">
            <v>809</v>
          </cell>
          <cell r="E309">
            <v>99</v>
          </cell>
          <cell r="F309">
            <v>0</v>
          </cell>
          <cell r="G309"/>
          <cell r="H309">
            <v>908</v>
          </cell>
          <cell r="I309">
            <v>908</v>
          </cell>
        </row>
        <row r="310">
          <cell r="A310" t="str">
            <v>----  Ireland: Dublin  ----</v>
          </cell>
          <cell r="C310" t="str">
            <v>----  Ireland: Dublin  ----</v>
          </cell>
          <cell r="D310"/>
          <cell r="E310"/>
          <cell r="F310"/>
          <cell r="G310"/>
          <cell r="H310"/>
          <cell r="I310"/>
        </row>
        <row r="311">
          <cell r="A311" t="str">
            <v>IEDR</v>
          </cell>
          <cell r="B311" t="str">
            <v>IE</v>
          </cell>
          <cell r="C311" t="str">
            <v>DR</v>
          </cell>
          <cell r="D311">
            <v>1213</v>
          </cell>
          <cell r="E311">
            <v>239</v>
          </cell>
          <cell r="F311">
            <v>0</v>
          </cell>
          <cell r="G311"/>
          <cell r="H311">
            <v>1452</v>
          </cell>
          <cell r="I311">
            <v>1452</v>
          </cell>
        </row>
        <row r="312">
          <cell r="A312" t="str">
            <v>IEBD</v>
          </cell>
          <cell r="B312" t="str">
            <v>IE</v>
          </cell>
          <cell r="C312" t="str">
            <v>BD</v>
          </cell>
          <cell r="D312">
            <v>1150</v>
          </cell>
          <cell r="E312">
            <v>199</v>
          </cell>
          <cell r="F312">
            <v>0</v>
          </cell>
          <cell r="G312"/>
          <cell r="H312">
            <v>1349</v>
          </cell>
          <cell r="I312">
            <v>1349</v>
          </cell>
        </row>
        <row r="313">
          <cell r="A313" t="str">
            <v>IEBM</v>
          </cell>
          <cell r="B313" t="str">
            <v>IE</v>
          </cell>
          <cell r="C313" t="str">
            <v>BM</v>
          </cell>
          <cell r="D313">
            <v>1046</v>
          </cell>
          <cell r="E313">
            <v>194</v>
          </cell>
          <cell r="F313">
            <v>0</v>
          </cell>
          <cell r="G313"/>
          <cell r="H313">
            <v>1240</v>
          </cell>
          <cell r="I313">
            <v>1240</v>
          </cell>
        </row>
        <row r="314">
          <cell r="A314" t="str">
            <v>IESM</v>
          </cell>
          <cell r="B314" t="str">
            <v>IE</v>
          </cell>
          <cell r="C314" t="str">
            <v>SM</v>
          </cell>
          <cell r="D314">
            <v>858</v>
          </cell>
          <cell r="E314">
            <v>188</v>
          </cell>
          <cell r="F314">
            <v>0</v>
          </cell>
          <cell r="G314"/>
          <cell r="H314">
            <v>1046</v>
          </cell>
          <cell r="I314">
            <v>1046</v>
          </cell>
        </row>
        <row r="315">
          <cell r="A315" t="str">
            <v>IEML</v>
          </cell>
          <cell r="B315" t="str">
            <v>IE</v>
          </cell>
          <cell r="C315" t="str">
            <v>ML</v>
          </cell>
          <cell r="D315">
            <v>731</v>
          </cell>
          <cell r="E315">
            <v>211</v>
          </cell>
          <cell r="F315">
            <v>0</v>
          </cell>
          <cell r="G315"/>
          <cell r="H315">
            <v>942</v>
          </cell>
          <cell r="I315">
            <v>942</v>
          </cell>
        </row>
        <row r="316">
          <cell r="A316" t="str">
            <v>IESC</v>
          </cell>
          <cell r="B316" t="str">
            <v>IE</v>
          </cell>
          <cell r="C316" t="str">
            <v>SC</v>
          </cell>
          <cell r="D316">
            <v>609</v>
          </cell>
          <cell r="E316">
            <v>170</v>
          </cell>
          <cell r="F316">
            <v>0</v>
          </cell>
          <cell r="G316"/>
          <cell r="H316">
            <v>779</v>
          </cell>
          <cell r="I316">
            <v>779</v>
          </cell>
        </row>
        <row r="317">
          <cell r="A317" t="str">
            <v>IECL</v>
          </cell>
          <cell r="B317" t="str">
            <v>IE</v>
          </cell>
          <cell r="C317" t="str">
            <v>CL</v>
          </cell>
          <cell r="D317">
            <v>534</v>
          </cell>
          <cell r="E317">
            <v>112</v>
          </cell>
          <cell r="F317">
            <v>0</v>
          </cell>
          <cell r="G317"/>
          <cell r="H317">
            <v>646</v>
          </cell>
          <cell r="I317">
            <v>646</v>
          </cell>
        </row>
        <row r="318">
          <cell r="A318" t="str">
            <v>IESE</v>
          </cell>
          <cell r="B318" t="str">
            <v>IE</v>
          </cell>
          <cell r="C318" t="str">
            <v>SE</v>
          </cell>
          <cell r="D318">
            <v>460</v>
          </cell>
          <cell r="E318">
            <v>98</v>
          </cell>
          <cell r="F318">
            <v>0</v>
          </cell>
          <cell r="G318"/>
          <cell r="H318">
            <v>558</v>
          </cell>
          <cell r="I318">
            <v>558</v>
          </cell>
        </row>
        <row r="319">
          <cell r="A319" t="str">
            <v>IEEN</v>
          </cell>
          <cell r="B319" t="str">
            <v>IE</v>
          </cell>
          <cell r="C319" t="str">
            <v>EN</v>
          </cell>
          <cell r="D319">
            <v>360</v>
          </cell>
          <cell r="E319">
            <v>96</v>
          </cell>
          <cell r="F319">
            <v>0</v>
          </cell>
          <cell r="G319"/>
          <cell r="H319">
            <v>456</v>
          </cell>
          <cell r="I319">
            <v>456</v>
          </cell>
        </row>
        <row r="320">
          <cell r="A320" t="str">
            <v>IEST</v>
          </cell>
          <cell r="B320" t="str">
            <v>IE</v>
          </cell>
          <cell r="C320" t="str">
            <v>ST</v>
          </cell>
          <cell r="D320">
            <v>256</v>
          </cell>
          <cell r="E320">
            <v>98</v>
          </cell>
          <cell r="F320">
            <v>0</v>
          </cell>
          <cell r="G320"/>
          <cell r="H320">
            <v>354</v>
          </cell>
          <cell r="I320">
            <v>354</v>
          </cell>
        </row>
        <row r="321">
          <cell r="A321" t="str">
            <v>IETL</v>
          </cell>
          <cell r="B321" t="str">
            <v>IE</v>
          </cell>
          <cell r="C321" t="str">
            <v>TL</v>
          </cell>
          <cell r="D321">
            <v>227</v>
          </cell>
          <cell r="E321">
            <v>67</v>
          </cell>
          <cell r="F321">
            <v>0</v>
          </cell>
          <cell r="G321"/>
          <cell r="H321">
            <v>294</v>
          </cell>
          <cell r="I321">
            <v>294</v>
          </cell>
        </row>
        <row r="322">
          <cell r="A322" t="str">
            <v>IEJT</v>
          </cell>
          <cell r="B322" t="str">
            <v>IE</v>
          </cell>
          <cell r="C322" t="str">
            <v>JT</v>
          </cell>
          <cell r="D322">
            <v>168</v>
          </cell>
          <cell r="E322">
            <v>48</v>
          </cell>
          <cell r="F322">
            <v>0</v>
          </cell>
          <cell r="G322"/>
          <cell r="H322">
            <v>216</v>
          </cell>
          <cell r="I322">
            <v>216</v>
          </cell>
        </row>
        <row r="323">
          <cell r="A323" t="str">
            <v>IEIN</v>
          </cell>
          <cell r="B323" t="str">
            <v>IE</v>
          </cell>
          <cell r="C323" t="str">
            <v>IN</v>
          </cell>
          <cell r="D323">
            <v>133</v>
          </cell>
          <cell r="E323">
            <v>49</v>
          </cell>
          <cell r="F323">
            <v>0</v>
          </cell>
          <cell r="G323"/>
          <cell r="H323">
            <v>182</v>
          </cell>
          <cell r="I323">
            <v>182</v>
          </cell>
        </row>
        <row r="324">
          <cell r="A324" t="str">
            <v>IEPP</v>
          </cell>
          <cell r="B324" t="str">
            <v>IE</v>
          </cell>
          <cell r="C324" t="str">
            <v>PP</v>
          </cell>
          <cell r="D324">
            <v>684</v>
          </cell>
          <cell r="E324">
            <v>224</v>
          </cell>
          <cell r="F324">
            <v>0</v>
          </cell>
          <cell r="G324"/>
          <cell r="H324">
            <v>908</v>
          </cell>
          <cell r="I324">
            <v>908</v>
          </cell>
        </row>
        <row r="325">
          <cell r="A325" t="str">
            <v>----  UK: London, Oxford  ----</v>
          </cell>
          <cell r="C325" t="str">
            <v>----  UK: London, Oxford  ----</v>
          </cell>
          <cell r="D325"/>
          <cell r="E325"/>
          <cell r="F325"/>
          <cell r="G325"/>
          <cell r="H325"/>
          <cell r="I325"/>
        </row>
        <row r="326">
          <cell r="A326" t="str">
            <v>UKBD</v>
          </cell>
          <cell r="B326" t="str">
            <v>UK</v>
          </cell>
          <cell r="C326" t="str">
            <v>BD</v>
          </cell>
          <cell r="D326">
            <v>1127</v>
          </cell>
          <cell r="E326">
            <v>222</v>
          </cell>
          <cell r="F326">
            <v>0</v>
          </cell>
          <cell r="G326"/>
          <cell r="H326">
            <v>1349</v>
          </cell>
          <cell r="I326">
            <v>1349</v>
          </cell>
        </row>
        <row r="327">
          <cell r="A327" t="str">
            <v>UKBM</v>
          </cell>
          <cell r="B327" t="str">
            <v>UK</v>
          </cell>
          <cell r="C327" t="str">
            <v>BM</v>
          </cell>
          <cell r="D327">
            <v>1021</v>
          </cell>
          <cell r="E327">
            <v>219</v>
          </cell>
          <cell r="F327">
            <v>0</v>
          </cell>
          <cell r="G327"/>
          <cell r="H327">
            <v>1240</v>
          </cell>
          <cell r="I327">
            <v>1240</v>
          </cell>
        </row>
        <row r="328">
          <cell r="A328" t="str">
            <v>UKSM</v>
          </cell>
          <cell r="B328" t="str">
            <v>UK</v>
          </cell>
          <cell r="C328" t="str">
            <v>SM</v>
          </cell>
          <cell r="D328">
            <v>837</v>
          </cell>
          <cell r="E328">
            <v>209</v>
          </cell>
          <cell r="F328">
            <v>0</v>
          </cell>
          <cell r="G328"/>
          <cell r="H328">
            <v>1046</v>
          </cell>
          <cell r="I328">
            <v>1046</v>
          </cell>
        </row>
        <row r="329">
          <cell r="A329" t="str">
            <v>UKML</v>
          </cell>
          <cell r="B329" t="str">
            <v>UK</v>
          </cell>
          <cell r="C329" t="str">
            <v>ML</v>
          </cell>
          <cell r="D329">
            <v>715</v>
          </cell>
          <cell r="E329">
            <v>227</v>
          </cell>
          <cell r="F329">
            <v>0</v>
          </cell>
          <cell r="G329"/>
          <cell r="H329">
            <v>942</v>
          </cell>
          <cell r="I329">
            <v>942</v>
          </cell>
        </row>
        <row r="330">
          <cell r="A330" t="str">
            <v>UKSC</v>
          </cell>
          <cell r="B330" t="str">
            <v>UK</v>
          </cell>
          <cell r="C330" t="str">
            <v>SC</v>
          </cell>
          <cell r="D330">
            <v>595</v>
          </cell>
          <cell r="E330">
            <v>184</v>
          </cell>
          <cell r="F330">
            <v>0</v>
          </cell>
          <cell r="G330"/>
          <cell r="H330">
            <v>779</v>
          </cell>
          <cell r="I330">
            <v>779</v>
          </cell>
        </row>
        <row r="331">
          <cell r="A331" t="str">
            <v>UKCL</v>
          </cell>
          <cell r="B331" t="str">
            <v>UK</v>
          </cell>
          <cell r="C331" t="str">
            <v>CL</v>
          </cell>
          <cell r="D331">
            <v>522</v>
          </cell>
          <cell r="E331">
            <v>124</v>
          </cell>
          <cell r="F331">
            <v>0</v>
          </cell>
          <cell r="G331"/>
          <cell r="H331">
            <v>646</v>
          </cell>
          <cell r="I331">
            <v>646</v>
          </cell>
        </row>
        <row r="332">
          <cell r="A332" t="str">
            <v>UKSE</v>
          </cell>
          <cell r="B332" t="str">
            <v>UK</v>
          </cell>
          <cell r="C332" t="str">
            <v>SE</v>
          </cell>
          <cell r="D332">
            <v>450</v>
          </cell>
          <cell r="E332">
            <v>108</v>
          </cell>
          <cell r="F332">
            <v>0</v>
          </cell>
          <cell r="G332"/>
          <cell r="H332">
            <v>558</v>
          </cell>
          <cell r="I332">
            <v>558</v>
          </cell>
        </row>
        <row r="333">
          <cell r="A333" t="str">
            <v>UKEN</v>
          </cell>
          <cell r="B333" t="str">
            <v>UK</v>
          </cell>
          <cell r="C333" t="str">
            <v>EN</v>
          </cell>
          <cell r="D333">
            <v>352</v>
          </cell>
          <cell r="E333">
            <v>104</v>
          </cell>
          <cell r="F333">
            <v>0</v>
          </cell>
          <cell r="G333"/>
          <cell r="H333">
            <v>456</v>
          </cell>
          <cell r="I333">
            <v>456</v>
          </cell>
        </row>
        <row r="334">
          <cell r="A334" t="str">
            <v>UKST</v>
          </cell>
          <cell r="B334" t="str">
            <v>UK</v>
          </cell>
          <cell r="C334" t="str">
            <v>ST</v>
          </cell>
          <cell r="D334">
            <v>251</v>
          </cell>
          <cell r="E334">
            <v>103</v>
          </cell>
          <cell r="F334">
            <v>0</v>
          </cell>
          <cell r="G334"/>
          <cell r="H334">
            <v>354</v>
          </cell>
          <cell r="I334">
            <v>354</v>
          </cell>
        </row>
        <row r="335">
          <cell r="A335" t="str">
            <v>UKTL</v>
          </cell>
          <cell r="B335" t="str">
            <v>UK</v>
          </cell>
          <cell r="C335" t="str">
            <v>TL</v>
          </cell>
          <cell r="D335">
            <v>222</v>
          </cell>
          <cell r="E335">
            <v>72</v>
          </cell>
          <cell r="F335">
            <v>0</v>
          </cell>
          <cell r="G335"/>
          <cell r="H335">
            <v>294</v>
          </cell>
          <cell r="I335">
            <v>294</v>
          </cell>
        </row>
        <row r="336">
          <cell r="A336" t="str">
            <v>UKJT</v>
          </cell>
          <cell r="B336" t="str">
            <v>UK</v>
          </cell>
          <cell r="C336" t="str">
            <v>JT</v>
          </cell>
          <cell r="D336">
            <v>165</v>
          </cell>
          <cell r="E336">
            <v>51</v>
          </cell>
          <cell r="F336">
            <v>0</v>
          </cell>
          <cell r="G336"/>
          <cell r="H336">
            <v>216</v>
          </cell>
          <cell r="I336">
            <v>216</v>
          </cell>
        </row>
        <row r="337">
          <cell r="A337" t="str">
            <v>UKIN</v>
          </cell>
          <cell r="B337" t="str">
            <v>UK</v>
          </cell>
          <cell r="C337" t="str">
            <v>IN</v>
          </cell>
          <cell r="D337">
            <v>130</v>
          </cell>
          <cell r="E337">
            <v>52</v>
          </cell>
          <cell r="F337">
            <v>0</v>
          </cell>
          <cell r="G337"/>
          <cell r="H337">
            <v>182</v>
          </cell>
          <cell r="I337">
            <v>182</v>
          </cell>
        </row>
        <row r="338">
          <cell r="A338" t="str">
            <v>UKPP</v>
          </cell>
          <cell r="B338" t="str">
            <v>UK</v>
          </cell>
          <cell r="C338" t="str">
            <v>PP</v>
          </cell>
          <cell r="D338">
            <v>668</v>
          </cell>
          <cell r="E338">
            <v>240</v>
          </cell>
          <cell r="F338">
            <v>0</v>
          </cell>
          <cell r="G338"/>
          <cell r="H338">
            <v>908</v>
          </cell>
          <cell r="I338">
            <v>908</v>
          </cell>
        </row>
        <row r="339">
          <cell r="A339" t="str">
            <v>----  Netherlands: Hilversum  ----</v>
          </cell>
          <cell r="C339" t="str">
            <v>----  Netherlands: Hilversum  ----</v>
          </cell>
          <cell r="D339"/>
          <cell r="E339"/>
          <cell r="F339"/>
          <cell r="G339"/>
          <cell r="H339"/>
          <cell r="I339"/>
        </row>
        <row r="340">
          <cell r="A340" t="str">
            <v>NLDR</v>
          </cell>
          <cell r="B340" t="str">
            <v>NL</v>
          </cell>
          <cell r="C340" t="str">
            <v>DR</v>
          </cell>
          <cell r="D340">
            <v>1433</v>
          </cell>
          <cell r="E340">
            <v>19</v>
          </cell>
          <cell r="F340">
            <v>0</v>
          </cell>
          <cell r="G340"/>
          <cell r="H340">
            <v>1452</v>
          </cell>
          <cell r="I340">
            <v>1452</v>
          </cell>
        </row>
        <row r="341">
          <cell r="A341" t="str">
            <v>NLBD</v>
          </cell>
          <cell r="B341" t="str">
            <v>NL</v>
          </cell>
          <cell r="C341" t="str">
            <v>BD</v>
          </cell>
          <cell r="D341">
            <v>1335</v>
          </cell>
          <cell r="E341">
            <v>14</v>
          </cell>
          <cell r="F341">
            <v>0</v>
          </cell>
          <cell r="G341"/>
          <cell r="H341">
            <v>1349</v>
          </cell>
          <cell r="I341">
            <v>1349</v>
          </cell>
        </row>
        <row r="342">
          <cell r="A342" t="str">
            <v>NLBM</v>
          </cell>
          <cell r="B342" t="str">
            <v>NL</v>
          </cell>
          <cell r="C342" t="str">
            <v>BM</v>
          </cell>
          <cell r="D342">
            <v>1220</v>
          </cell>
          <cell r="E342">
            <v>20</v>
          </cell>
          <cell r="F342">
            <v>0</v>
          </cell>
          <cell r="G342"/>
          <cell r="H342">
            <v>1240</v>
          </cell>
          <cell r="I342">
            <v>1240</v>
          </cell>
        </row>
        <row r="343">
          <cell r="A343" t="str">
            <v>NLSM</v>
          </cell>
          <cell r="B343" t="str">
            <v>NL</v>
          </cell>
          <cell r="C343" t="str">
            <v>SM</v>
          </cell>
          <cell r="D343">
            <v>1013</v>
          </cell>
          <cell r="E343">
            <v>33</v>
          </cell>
          <cell r="F343">
            <v>0</v>
          </cell>
          <cell r="G343"/>
          <cell r="H343">
            <v>1046</v>
          </cell>
          <cell r="I343">
            <v>1046</v>
          </cell>
        </row>
        <row r="344">
          <cell r="A344" t="str">
            <v>NLML</v>
          </cell>
          <cell r="B344" t="str">
            <v>NL</v>
          </cell>
          <cell r="C344" t="str">
            <v>ML</v>
          </cell>
          <cell r="D344">
            <v>864</v>
          </cell>
          <cell r="E344">
            <v>78</v>
          </cell>
          <cell r="F344">
            <v>0</v>
          </cell>
          <cell r="G344"/>
          <cell r="H344">
            <v>942</v>
          </cell>
          <cell r="I344">
            <v>942</v>
          </cell>
        </row>
        <row r="345">
          <cell r="A345" t="str">
            <v>NLSC</v>
          </cell>
          <cell r="B345" t="str">
            <v>NL</v>
          </cell>
          <cell r="C345" t="str">
            <v>SC</v>
          </cell>
          <cell r="D345">
            <v>718</v>
          </cell>
          <cell r="E345">
            <v>61</v>
          </cell>
          <cell r="F345">
            <v>0</v>
          </cell>
          <cell r="G345"/>
          <cell r="H345">
            <v>779</v>
          </cell>
          <cell r="I345">
            <v>779</v>
          </cell>
        </row>
        <row r="346">
          <cell r="A346" t="str">
            <v>NLCL</v>
          </cell>
          <cell r="B346" t="str">
            <v>NL</v>
          </cell>
          <cell r="C346" t="str">
            <v>CL</v>
          </cell>
          <cell r="D346">
            <v>629</v>
          </cell>
          <cell r="E346">
            <v>17</v>
          </cell>
          <cell r="F346">
            <v>0</v>
          </cell>
          <cell r="G346"/>
          <cell r="H346">
            <v>646</v>
          </cell>
          <cell r="I346">
            <v>646</v>
          </cell>
        </row>
        <row r="347">
          <cell r="A347" t="str">
            <v>NLSE</v>
          </cell>
          <cell r="B347" t="str">
            <v>NL</v>
          </cell>
          <cell r="C347" t="str">
            <v>SE</v>
          </cell>
          <cell r="D347">
            <v>543</v>
          </cell>
          <cell r="E347">
            <v>15</v>
          </cell>
          <cell r="F347">
            <v>0</v>
          </cell>
          <cell r="G347"/>
          <cell r="H347">
            <v>558</v>
          </cell>
          <cell r="I347">
            <v>558</v>
          </cell>
        </row>
        <row r="348">
          <cell r="A348" t="str">
            <v>NLEN</v>
          </cell>
          <cell r="B348" t="str">
            <v>NL</v>
          </cell>
          <cell r="C348" t="str">
            <v>EN</v>
          </cell>
          <cell r="D348">
            <v>425</v>
          </cell>
          <cell r="E348">
            <v>31</v>
          </cell>
          <cell r="F348">
            <v>0</v>
          </cell>
          <cell r="G348"/>
          <cell r="H348">
            <v>456</v>
          </cell>
          <cell r="I348">
            <v>456</v>
          </cell>
        </row>
        <row r="349">
          <cell r="A349" t="str">
            <v>NLST</v>
          </cell>
          <cell r="B349" t="str">
            <v>NL</v>
          </cell>
          <cell r="C349" t="str">
            <v>ST</v>
          </cell>
          <cell r="D349">
            <v>303</v>
          </cell>
          <cell r="E349">
            <v>51</v>
          </cell>
          <cell r="F349">
            <v>0</v>
          </cell>
          <cell r="G349"/>
          <cell r="H349">
            <v>354</v>
          </cell>
          <cell r="I349">
            <v>354</v>
          </cell>
        </row>
        <row r="350">
          <cell r="A350" t="str">
            <v>NLTL</v>
          </cell>
          <cell r="B350" t="str">
            <v>NL</v>
          </cell>
          <cell r="C350" t="str">
            <v>TL</v>
          </cell>
          <cell r="D350">
            <v>268</v>
          </cell>
          <cell r="E350">
            <v>26</v>
          </cell>
          <cell r="F350">
            <v>0</v>
          </cell>
          <cell r="G350"/>
          <cell r="H350">
            <v>294</v>
          </cell>
          <cell r="I350">
            <v>294</v>
          </cell>
        </row>
        <row r="351">
          <cell r="A351" t="str">
            <v>NLJT</v>
          </cell>
          <cell r="B351" t="str">
            <v>NL</v>
          </cell>
          <cell r="C351" t="str">
            <v>JT</v>
          </cell>
          <cell r="D351">
            <v>200</v>
          </cell>
          <cell r="E351">
            <v>16</v>
          </cell>
          <cell r="F351">
            <v>0</v>
          </cell>
          <cell r="G351"/>
          <cell r="H351">
            <v>216</v>
          </cell>
          <cell r="I351">
            <v>216</v>
          </cell>
        </row>
        <row r="352">
          <cell r="A352" t="str">
            <v>NLIN</v>
          </cell>
          <cell r="B352" t="str">
            <v>NL</v>
          </cell>
          <cell r="C352" t="str">
            <v>IN</v>
          </cell>
          <cell r="D352">
            <v>156</v>
          </cell>
          <cell r="E352">
            <v>26</v>
          </cell>
          <cell r="F352">
            <v>0</v>
          </cell>
          <cell r="G352"/>
          <cell r="H352">
            <v>182</v>
          </cell>
          <cell r="I352">
            <v>182</v>
          </cell>
        </row>
        <row r="353">
          <cell r="A353" t="str">
            <v>NLPP</v>
          </cell>
          <cell r="B353" t="str">
            <v>NL</v>
          </cell>
          <cell r="C353" t="str">
            <v>PP</v>
          </cell>
          <cell r="D353">
            <v>809</v>
          </cell>
          <cell r="E353">
            <v>99</v>
          </cell>
          <cell r="F353">
            <v>0</v>
          </cell>
          <cell r="G353"/>
          <cell r="H353">
            <v>908</v>
          </cell>
          <cell r="I353">
            <v>908</v>
          </cell>
        </row>
        <row r="354">
          <cell r="A354" t="str">
            <v>----  Denmark: Copenhagen  ----</v>
          </cell>
          <cell r="C354" t="str">
            <v>----  Denmark: Copenhagen  ----</v>
          </cell>
          <cell r="D354"/>
          <cell r="E354"/>
          <cell r="F354"/>
          <cell r="G354"/>
          <cell r="H354"/>
          <cell r="I354"/>
        </row>
        <row r="355">
          <cell r="A355" t="str">
            <v>DKDR</v>
          </cell>
          <cell r="B355" t="str">
            <v>DK</v>
          </cell>
          <cell r="C355" t="str">
            <v>DR</v>
          </cell>
          <cell r="D355">
            <v>1213</v>
          </cell>
          <cell r="E355">
            <v>239</v>
          </cell>
          <cell r="F355">
            <v>0</v>
          </cell>
          <cell r="G355"/>
          <cell r="H355">
            <v>1452</v>
          </cell>
          <cell r="I355">
            <v>1452</v>
          </cell>
        </row>
        <row r="356">
          <cell r="A356" t="str">
            <v>DKBD</v>
          </cell>
          <cell r="B356" t="str">
            <v>DK</v>
          </cell>
          <cell r="C356" t="str">
            <v>BD</v>
          </cell>
          <cell r="D356">
            <v>1150</v>
          </cell>
          <cell r="E356">
            <v>199</v>
          </cell>
          <cell r="F356">
            <v>0</v>
          </cell>
          <cell r="G356"/>
          <cell r="H356">
            <v>1349</v>
          </cell>
          <cell r="I356">
            <v>1349</v>
          </cell>
        </row>
        <row r="357">
          <cell r="A357" t="str">
            <v>DKBM</v>
          </cell>
          <cell r="B357" t="str">
            <v>DK</v>
          </cell>
          <cell r="C357" t="str">
            <v>BM</v>
          </cell>
          <cell r="D357">
            <v>1046</v>
          </cell>
          <cell r="E357">
            <v>194</v>
          </cell>
          <cell r="F357">
            <v>0</v>
          </cell>
          <cell r="G357"/>
          <cell r="H357">
            <v>1240</v>
          </cell>
          <cell r="I357">
            <v>1240</v>
          </cell>
        </row>
        <row r="358">
          <cell r="A358" t="str">
            <v>DKSM</v>
          </cell>
          <cell r="B358" t="str">
            <v>DK</v>
          </cell>
          <cell r="C358" t="str">
            <v>SM</v>
          </cell>
          <cell r="D358">
            <v>858</v>
          </cell>
          <cell r="E358">
            <v>188</v>
          </cell>
          <cell r="F358">
            <v>0</v>
          </cell>
          <cell r="G358"/>
          <cell r="H358">
            <v>1046</v>
          </cell>
          <cell r="I358">
            <v>1046</v>
          </cell>
        </row>
        <row r="359">
          <cell r="A359" t="str">
            <v>DKML</v>
          </cell>
          <cell r="B359" t="str">
            <v>DK</v>
          </cell>
          <cell r="C359" t="str">
            <v>ML</v>
          </cell>
          <cell r="D359">
            <v>731</v>
          </cell>
          <cell r="E359">
            <v>211</v>
          </cell>
          <cell r="F359">
            <v>0</v>
          </cell>
          <cell r="G359"/>
          <cell r="H359">
            <v>942</v>
          </cell>
          <cell r="I359">
            <v>942</v>
          </cell>
        </row>
        <row r="360">
          <cell r="A360" t="str">
            <v>DKSC</v>
          </cell>
          <cell r="B360" t="str">
            <v>DK</v>
          </cell>
          <cell r="C360" t="str">
            <v>SC</v>
          </cell>
          <cell r="D360">
            <v>609</v>
          </cell>
          <cell r="E360">
            <v>170</v>
          </cell>
          <cell r="F360">
            <v>0</v>
          </cell>
          <cell r="G360"/>
          <cell r="H360">
            <v>779</v>
          </cell>
          <cell r="I360">
            <v>779</v>
          </cell>
        </row>
        <row r="361">
          <cell r="A361" t="str">
            <v>DKCL</v>
          </cell>
          <cell r="B361" t="str">
            <v>DK</v>
          </cell>
          <cell r="C361" t="str">
            <v>CL</v>
          </cell>
          <cell r="D361">
            <v>534</v>
          </cell>
          <cell r="E361">
            <v>112</v>
          </cell>
          <cell r="F361">
            <v>0</v>
          </cell>
          <cell r="G361"/>
          <cell r="H361">
            <v>646</v>
          </cell>
          <cell r="I361">
            <v>646</v>
          </cell>
        </row>
        <row r="362">
          <cell r="A362" t="str">
            <v>DKSE</v>
          </cell>
          <cell r="B362" t="str">
            <v>DK</v>
          </cell>
          <cell r="C362" t="str">
            <v>SE</v>
          </cell>
          <cell r="D362">
            <v>460</v>
          </cell>
          <cell r="E362">
            <v>98</v>
          </cell>
          <cell r="F362">
            <v>0</v>
          </cell>
          <cell r="G362"/>
          <cell r="H362">
            <v>558</v>
          </cell>
          <cell r="I362">
            <v>558</v>
          </cell>
        </row>
        <row r="363">
          <cell r="A363" t="str">
            <v>DKEN</v>
          </cell>
          <cell r="B363" t="str">
            <v>DK</v>
          </cell>
          <cell r="C363" t="str">
            <v>EN</v>
          </cell>
          <cell r="D363">
            <v>360</v>
          </cell>
          <cell r="E363">
            <v>96</v>
          </cell>
          <cell r="F363">
            <v>0</v>
          </cell>
          <cell r="G363"/>
          <cell r="H363">
            <v>456</v>
          </cell>
          <cell r="I363">
            <v>456</v>
          </cell>
        </row>
        <row r="364">
          <cell r="A364" t="str">
            <v>DKST</v>
          </cell>
          <cell r="B364" t="str">
            <v>DK</v>
          </cell>
          <cell r="C364" t="str">
            <v>ST</v>
          </cell>
          <cell r="D364">
            <v>256</v>
          </cell>
          <cell r="E364">
            <v>98</v>
          </cell>
          <cell r="F364">
            <v>0</v>
          </cell>
          <cell r="G364"/>
          <cell r="H364">
            <v>354</v>
          </cell>
          <cell r="I364">
            <v>354</v>
          </cell>
        </row>
        <row r="365">
          <cell r="A365" t="str">
            <v>DKTL</v>
          </cell>
          <cell r="B365" t="str">
            <v>DK</v>
          </cell>
          <cell r="C365" t="str">
            <v>TL</v>
          </cell>
          <cell r="D365">
            <v>227</v>
          </cell>
          <cell r="E365">
            <v>67</v>
          </cell>
          <cell r="F365">
            <v>0</v>
          </cell>
          <cell r="G365"/>
          <cell r="H365">
            <v>294</v>
          </cell>
          <cell r="I365">
            <v>294</v>
          </cell>
        </row>
        <row r="366">
          <cell r="A366" t="str">
            <v>DKJT</v>
          </cell>
          <cell r="B366" t="str">
            <v>DK</v>
          </cell>
          <cell r="C366" t="str">
            <v>JT</v>
          </cell>
          <cell r="D366">
            <v>168</v>
          </cell>
          <cell r="E366">
            <v>48</v>
          </cell>
          <cell r="F366">
            <v>0</v>
          </cell>
          <cell r="G366"/>
          <cell r="H366">
            <v>216</v>
          </cell>
          <cell r="I366">
            <v>216</v>
          </cell>
        </row>
        <row r="367">
          <cell r="A367" t="str">
            <v>DKIN</v>
          </cell>
          <cell r="B367" t="str">
            <v>DK</v>
          </cell>
          <cell r="C367" t="str">
            <v>IN</v>
          </cell>
          <cell r="D367">
            <v>133</v>
          </cell>
          <cell r="E367">
            <v>49</v>
          </cell>
          <cell r="F367">
            <v>0</v>
          </cell>
          <cell r="G367"/>
          <cell r="H367">
            <v>182</v>
          </cell>
          <cell r="I367">
            <v>182</v>
          </cell>
        </row>
        <row r="368">
          <cell r="A368" t="str">
            <v>DKPP</v>
          </cell>
          <cell r="B368" t="str">
            <v>DK</v>
          </cell>
          <cell r="C368" t="str">
            <v>PP</v>
          </cell>
          <cell r="D368">
            <v>684</v>
          </cell>
          <cell r="E368">
            <v>224</v>
          </cell>
          <cell r="F368">
            <v>0</v>
          </cell>
          <cell r="G368"/>
          <cell r="H368">
            <v>908</v>
          </cell>
          <cell r="I368">
            <v>908</v>
          </cell>
        </row>
        <row r="369">
          <cell r="A369" t="str">
            <v/>
          </cell>
          <cell r="C369"/>
          <cell r="D369"/>
          <cell r="E369"/>
          <cell r="F369"/>
          <cell r="G369"/>
          <cell r="H369"/>
          <cell r="I369"/>
        </row>
        <row r="370">
          <cell r="A370" t="str">
            <v>**************   WE Tier 2  ****************</v>
          </cell>
          <cell r="C370" t="str">
            <v>**************   WE Tier 2  ****************</v>
          </cell>
          <cell r="D370"/>
          <cell r="E370"/>
          <cell r="F370"/>
          <cell r="G370"/>
          <cell r="H370"/>
          <cell r="I370"/>
        </row>
        <row r="371">
          <cell r="A371" t="str">
            <v>----  UK: Zone 2 Locations  ----</v>
          </cell>
          <cell r="C371" t="str">
            <v>----  UK: Zone 2 Locations  ----</v>
          </cell>
          <cell r="D371"/>
          <cell r="E371"/>
          <cell r="F371"/>
          <cell r="G371"/>
          <cell r="H371"/>
          <cell r="I371"/>
        </row>
        <row r="372">
          <cell r="A372" t="str">
            <v>U2BD</v>
          </cell>
          <cell r="B372" t="str">
            <v>U2</v>
          </cell>
          <cell r="C372" t="str">
            <v>BD</v>
          </cell>
          <cell r="D372">
            <v>884</v>
          </cell>
          <cell r="E372">
            <v>125</v>
          </cell>
          <cell r="F372">
            <v>0</v>
          </cell>
          <cell r="G372"/>
          <cell r="H372">
            <v>1009</v>
          </cell>
          <cell r="I372">
            <v>1009</v>
          </cell>
        </row>
        <row r="373">
          <cell r="A373" t="str">
            <v>U2BM</v>
          </cell>
          <cell r="B373" t="str">
            <v>U2</v>
          </cell>
          <cell r="C373" t="str">
            <v>BM</v>
          </cell>
          <cell r="D373">
            <v>821</v>
          </cell>
          <cell r="E373">
            <v>111</v>
          </cell>
          <cell r="F373">
            <v>0</v>
          </cell>
          <cell r="G373"/>
          <cell r="H373">
            <v>932</v>
          </cell>
          <cell r="I373">
            <v>932</v>
          </cell>
        </row>
        <row r="374">
          <cell r="A374" t="str">
            <v>U2SM</v>
          </cell>
          <cell r="B374" t="str">
            <v>U2</v>
          </cell>
          <cell r="C374" t="str">
            <v>SM</v>
          </cell>
          <cell r="D374">
            <v>672</v>
          </cell>
          <cell r="E374">
            <v>113</v>
          </cell>
          <cell r="F374">
            <v>0</v>
          </cell>
          <cell r="G374"/>
          <cell r="H374">
            <v>785</v>
          </cell>
          <cell r="I374">
            <v>785</v>
          </cell>
        </row>
        <row r="375">
          <cell r="A375" t="str">
            <v>U2ML</v>
          </cell>
          <cell r="B375" t="str">
            <v>U2</v>
          </cell>
          <cell r="C375" t="str">
            <v>ML</v>
          </cell>
          <cell r="D375">
            <v>573</v>
          </cell>
          <cell r="E375">
            <v>136</v>
          </cell>
          <cell r="F375">
            <v>0</v>
          </cell>
          <cell r="G375"/>
          <cell r="H375">
            <v>709</v>
          </cell>
          <cell r="I375">
            <v>709</v>
          </cell>
        </row>
        <row r="376">
          <cell r="A376" t="str">
            <v>U2SC</v>
          </cell>
          <cell r="B376" t="str">
            <v>U2</v>
          </cell>
          <cell r="C376" t="str">
            <v>SC</v>
          </cell>
          <cell r="D376">
            <v>477</v>
          </cell>
          <cell r="E376">
            <v>106</v>
          </cell>
          <cell r="F376">
            <v>0</v>
          </cell>
          <cell r="G376"/>
          <cell r="H376">
            <v>583</v>
          </cell>
          <cell r="I376">
            <v>583</v>
          </cell>
        </row>
        <row r="377">
          <cell r="A377" t="str">
            <v>U2CL</v>
          </cell>
          <cell r="B377" t="str">
            <v>U2</v>
          </cell>
          <cell r="C377" t="str">
            <v>CL</v>
          </cell>
          <cell r="D377">
            <v>418</v>
          </cell>
          <cell r="E377">
            <v>66</v>
          </cell>
          <cell r="F377">
            <v>0</v>
          </cell>
          <cell r="G377"/>
          <cell r="H377">
            <v>484</v>
          </cell>
          <cell r="I377">
            <v>484</v>
          </cell>
        </row>
        <row r="378">
          <cell r="A378" t="str">
            <v>U2SE</v>
          </cell>
          <cell r="B378" t="str">
            <v>U2</v>
          </cell>
          <cell r="C378" t="str">
            <v>SE</v>
          </cell>
          <cell r="D378">
            <v>360</v>
          </cell>
          <cell r="E378">
            <v>57</v>
          </cell>
          <cell r="F378">
            <v>0</v>
          </cell>
          <cell r="G378"/>
          <cell r="H378">
            <v>417</v>
          </cell>
          <cell r="I378">
            <v>417</v>
          </cell>
        </row>
        <row r="379">
          <cell r="A379" t="str">
            <v>U2EN</v>
          </cell>
          <cell r="B379" t="str">
            <v>U2</v>
          </cell>
          <cell r="C379" t="str">
            <v>EN</v>
          </cell>
          <cell r="D379">
            <v>282</v>
          </cell>
          <cell r="E379">
            <v>62</v>
          </cell>
          <cell r="F379">
            <v>0</v>
          </cell>
          <cell r="G379"/>
          <cell r="H379">
            <v>344</v>
          </cell>
          <cell r="I379">
            <v>344</v>
          </cell>
        </row>
        <row r="380">
          <cell r="A380" t="str">
            <v>U2ST</v>
          </cell>
          <cell r="B380" t="str">
            <v>U2</v>
          </cell>
          <cell r="C380" t="str">
            <v>ST</v>
          </cell>
          <cell r="D380">
            <v>202</v>
          </cell>
          <cell r="E380">
            <v>64</v>
          </cell>
          <cell r="F380">
            <v>0</v>
          </cell>
          <cell r="G380"/>
          <cell r="H380">
            <v>266</v>
          </cell>
          <cell r="I380">
            <v>266</v>
          </cell>
        </row>
        <row r="381">
          <cell r="A381" t="str">
            <v>U2TL</v>
          </cell>
          <cell r="B381" t="str">
            <v>U2</v>
          </cell>
          <cell r="C381" t="str">
            <v>TL</v>
          </cell>
          <cell r="D381">
            <v>179</v>
          </cell>
          <cell r="E381">
            <v>40</v>
          </cell>
          <cell r="F381">
            <v>0</v>
          </cell>
          <cell r="G381"/>
          <cell r="H381">
            <v>219</v>
          </cell>
          <cell r="I381">
            <v>219</v>
          </cell>
        </row>
        <row r="382">
          <cell r="A382" t="str">
            <v>U2JT</v>
          </cell>
          <cell r="B382" t="str">
            <v>U2</v>
          </cell>
          <cell r="C382" t="str">
            <v>JT</v>
          </cell>
          <cell r="D382">
            <v>133</v>
          </cell>
          <cell r="E382">
            <v>31</v>
          </cell>
          <cell r="F382">
            <v>0</v>
          </cell>
          <cell r="G382"/>
          <cell r="H382">
            <v>164</v>
          </cell>
          <cell r="I382">
            <v>164</v>
          </cell>
        </row>
        <row r="383">
          <cell r="A383" t="str">
            <v>U2IN</v>
          </cell>
          <cell r="B383" t="str">
            <v>U2</v>
          </cell>
          <cell r="C383" t="str">
            <v>IN</v>
          </cell>
          <cell r="D383">
            <v>104</v>
          </cell>
          <cell r="E383">
            <v>34</v>
          </cell>
          <cell r="F383">
            <v>0</v>
          </cell>
          <cell r="G383"/>
          <cell r="H383">
            <v>138</v>
          </cell>
          <cell r="I383">
            <v>138</v>
          </cell>
        </row>
        <row r="384">
          <cell r="A384" t="str">
            <v>U2PP</v>
          </cell>
          <cell r="B384" t="str">
            <v>U2</v>
          </cell>
          <cell r="C384" t="str">
            <v>PP</v>
          </cell>
          <cell r="D384">
            <v>542</v>
          </cell>
          <cell r="E384">
            <v>366</v>
          </cell>
          <cell r="F384">
            <v>0</v>
          </cell>
          <cell r="G384"/>
          <cell r="H384">
            <v>908</v>
          </cell>
          <cell r="I384">
            <v>908</v>
          </cell>
        </row>
      </sheetData>
      <sheetData sheetId="14"/>
      <sheetData sheetId="15">
        <row r="4">
          <cell r="B4" t="str">
            <v>USD</v>
          </cell>
          <cell r="C4">
            <v>1.23</v>
          </cell>
        </row>
        <row r="5">
          <cell r="B5" t="str">
            <v>EUR</v>
          </cell>
          <cell r="C5">
            <v>1.1499999999999999</v>
          </cell>
        </row>
        <row r="6">
          <cell r="B6" t="str">
            <v>RON</v>
          </cell>
          <cell r="C6">
            <v>5.5</v>
          </cell>
        </row>
        <row r="7">
          <cell r="B7" t="str">
            <v>ARS</v>
          </cell>
          <cell r="C7">
            <v>80</v>
          </cell>
        </row>
        <row r="8">
          <cell r="B8" t="str">
            <v>AUD</v>
          </cell>
          <cell r="C8">
            <v>1.98</v>
          </cell>
        </row>
        <row r="9">
          <cell r="B9" t="str">
            <v>BGN</v>
          </cell>
          <cell r="C9">
            <v>2.19</v>
          </cell>
        </row>
        <row r="10">
          <cell r="B10" t="str">
            <v>CAD</v>
          </cell>
          <cell r="C10">
            <v>1.75</v>
          </cell>
        </row>
        <row r="11">
          <cell r="B11" t="str">
            <v>GBP</v>
          </cell>
          <cell r="C11">
            <v>1</v>
          </cell>
        </row>
        <row r="12">
          <cell r="B12" t="str">
            <v>CHF</v>
          </cell>
          <cell r="C12">
            <v>1.19</v>
          </cell>
        </row>
        <row r="13">
          <cell r="B13" t="str">
            <v>COP</v>
          </cell>
          <cell r="C13">
            <v>5000</v>
          </cell>
        </row>
        <row r="14">
          <cell r="B14" t="str">
            <v>DKK</v>
          </cell>
          <cell r="C14">
            <v>8.4</v>
          </cell>
        </row>
        <row r="15">
          <cell r="B15" t="str">
            <v>MDL</v>
          </cell>
          <cell r="C15">
            <v>23</v>
          </cell>
        </row>
        <row r="16">
          <cell r="B16" t="str">
            <v>MKD</v>
          </cell>
          <cell r="C16">
            <v>69</v>
          </cell>
        </row>
        <row r="17">
          <cell r="B17" t="str">
            <v>RSD</v>
          </cell>
          <cell r="C17">
            <v>130</v>
          </cell>
        </row>
        <row r="18">
          <cell r="B18" t="str">
            <v>SGD</v>
          </cell>
          <cell r="C18">
            <v>1.75</v>
          </cell>
        </row>
        <row r="19">
          <cell r="B19" t="str">
            <v>UYU</v>
          </cell>
          <cell r="C19">
            <v>53</v>
          </cell>
        </row>
        <row r="20">
          <cell r="B20" t="str">
            <v>VES</v>
          </cell>
          <cell r="C20">
            <v>110000</v>
          </cell>
        </row>
      </sheetData>
      <sheetData sheetId="16"/>
      <sheetData sheetId="17">
        <row r="3">
          <cell r="B3" t="str">
            <v>zero</v>
          </cell>
          <cell r="C3">
            <v>0</v>
          </cell>
          <cell r="D3">
            <v>0</v>
          </cell>
          <cell r="E3">
            <v>0</v>
          </cell>
          <cell r="I3" t="str">
            <v>zero</v>
          </cell>
          <cell r="J3">
            <v>0</v>
          </cell>
          <cell r="N3" t="str">
            <v>Low</v>
          </cell>
          <cell r="R3" t="str">
            <v>Low</v>
          </cell>
          <cell r="V3" t="str">
            <v>Next</v>
          </cell>
        </row>
        <row r="4">
          <cell r="B4" t="str">
            <v>XS</v>
          </cell>
          <cell r="C4">
            <v>0</v>
          </cell>
          <cell r="D4">
            <v>0.05</v>
          </cell>
          <cell r="E4">
            <v>0.1</v>
          </cell>
          <cell r="I4" t="str">
            <v>XS</v>
          </cell>
          <cell r="J4">
            <v>1.5</v>
          </cell>
          <cell r="N4" t="str">
            <v>Medium</v>
          </cell>
          <cell r="R4" t="str">
            <v>Medium</v>
          </cell>
          <cell r="V4" t="str">
            <v>Later</v>
          </cell>
        </row>
        <row r="5">
          <cell r="B5" t="str">
            <v>S</v>
          </cell>
          <cell r="C5">
            <v>0</v>
          </cell>
          <cell r="D5">
            <v>0.1</v>
          </cell>
          <cell r="E5">
            <v>0.2</v>
          </cell>
          <cell r="I5" t="str">
            <v>S</v>
          </cell>
          <cell r="J5">
            <v>4</v>
          </cell>
          <cell r="N5" t="str">
            <v>High</v>
          </cell>
          <cell r="R5" t="str">
            <v>High</v>
          </cell>
          <cell r="V5" t="str">
            <v>Last</v>
          </cell>
        </row>
        <row r="6">
          <cell r="B6" t="str">
            <v>M</v>
          </cell>
          <cell r="C6">
            <v>0</v>
          </cell>
          <cell r="D6">
            <v>0.2</v>
          </cell>
          <cell r="E6">
            <v>0.25</v>
          </cell>
          <cell r="I6" t="str">
            <v>M</v>
          </cell>
          <cell r="J6">
            <v>10.5</v>
          </cell>
        </row>
        <row r="7">
          <cell r="B7" t="str">
            <v>L</v>
          </cell>
          <cell r="C7">
            <v>0.2</v>
          </cell>
          <cell r="D7">
            <v>0.25</v>
          </cell>
          <cell r="E7">
            <v>0.3</v>
          </cell>
          <cell r="I7" t="str">
            <v>L</v>
          </cell>
          <cell r="J7">
            <v>20</v>
          </cell>
        </row>
        <row r="8">
          <cell r="B8" t="str">
            <v>XL</v>
          </cell>
          <cell r="C8">
            <v>0.25</v>
          </cell>
          <cell r="D8">
            <v>0.3</v>
          </cell>
          <cell r="E8">
            <v>0.4</v>
          </cell>
          <cell r="I8" t="str">
            <v>XL</v>
          </cell>
          <cell r="J8">
            <v>40</v>
          </cell>
        </row>
        <row r="9">
          <cell r="B9" t="str">
            <v>XXL</v>
          </cell>
          <cell r="C9">
            <v>0.3</v>
          </cell>
          <cell r="D9">
            <v>0.4</v>
          </cell>
          <cell r="E9">
            <v>0.5</v>
          </cell>
          <cell r="I9" t="str">
            <v>XXL</v>
          </cell>
          <cell r="J9">
            <v>100</v>
          </cell>
        </row>
        <row r="12">
          <cell r="B12" t="str">
            <v>zero</v>
          </cell>
          <cell r="C12">
            <v>0</v>
          </cell>
          <cell r="D12">
            <v>0</v>
          </cell>
          <cell r="E12">
            <v>0</v>
          </cell>
        </row>
        <row r="13">
          <cell r="B13" t="str">
            <v>XS</v>
          </cell>
          <cell r="C13">
            <v>0</v>
          </cell>
          <cell r="D13">
            <v>0</v>
          </cell>
          <cell r="E13">
            <v>0.05</v>
          </cell>
        </row>
        <row r="14">
          <cell r="B14" t="str">
            <v>S</v>
          </cell>
          <cell r="C14">
            <v>0</v>
          </cell>
          <cell r="D14">
            <v>0.05</v>
          </cell>
          <cell r="E14">
            <v>0.1</v>
          </cell>
        </row>
        <row r="15">
          <cell r="B15" t="str">
            <v>M</v>
          </cell>
          <cell r="C15">
            <v>0</v>
          </cell>
          <cell r="D15">
            <v>0.1</v>
          </cell>
          <cell r="E15">
            <v>0.2</v>
          </cell>
        </row>
        <row r="16">
          <cell r="B16" t="str">
            <v>L</v>
          </cell>
          <cell r="C16">
            <v>0.1</v>
          </cell>
          <cell r="D16">
            <v>0.15</v>
          </cell>
          <cell r="E16">
            <v>0.3</v>
          </cell>
          <cell r="I16">
            <v>0</v>
          </cell>
          <cell r="J16" t="str">
            <v>zero</v>
          </cell>
        </row>
        <row r="17">
          <cell r="B17" t="str">
            <v>XL</v>
          </cell>
          <cell r="C17">
            <v>0.15</v>
          </cell>
          <cell r="D17">
            <v>0.2</v>
          </cell>
          <cell r="E17">
            <v>0.4</v>
          </cell>
          <cell r="I17">
            <v>1</v>
          </cell>
          <cell r="J17" t="str">
            <v>XS</v>
          </cell>
        </row>
        <row r="18">
          <cell r="B18" t="str">
            <v>XXL</v>
          </cell>
          <cell r="C18">
            <v>0.2</v>
          </cell>
          <cell r="D18">
            <v>0.4</v>
          </cell>
          <cell r="E18">
            <v>0.5</v>
          </cell>
          <cell r="I18">
            <v>2</v>
          </cell>
          <cell r="J18" t="str">
            <v>XS</v>
          </cell>
        </row>
        <row r="19">
          <cell r="I19">
            <v>3</v>
          </cell>
          <cell r="J19" t="str">
            <v>S</v>
          </cell>
        </row>
        <row r="20">
          <cell r="I20">
            <v>5</v>
          </cell>
          <cell r="J20" t="str">
            <v>S</v>
          </cell>
        </row>
        <row r="21">
          <cell r="I21">
            <v>8</v>
          </cell>
          <cell r="J21" t="str">
            <v>M</v>
          </cell>
        </row>
        <row r="22">
          <cell r="I22">
            <v>13</v>
          </cell>
          <cell r="J22" t="str">
            <v>M</v>
          </cell>
        </row>
        <row r="23">
          <cell r="I23">
            <v>20</v>
          </cell>
          <cell r="J23" t="str">
            <v>L</v>
          </cell>
        </row>
        <row r="24">
          <cell r="I24">
            <v>40</v>
          </cell>
          <cell r="J24" t="str">
            <v>XL</v>
          </cell>
        </row>
        <row r="25">
          <cell r="I25">
            <v>100</v>
          </cell>
          <cell r="J25" t="str">
            <v>XXL</v>
          </cell>
        </row>
      </sheetData>
    </sheetDataSet>
  </externalBook>
</externalLink>
</file>

<file path=xl/persons/person.xml><?xml version="1.0" encoding="utf-8"?>
<personList xmlns="http://schemas.microsoft.com/office/spreadsheetml/2018/threadedcomments" xmlns:x="http://schemas.openxmlformats.org/spreadsheetml/2006/main">
  <person displayName="Daniel Ionescu" id="{198BD51C-F9B4-41BA-94C0-40C96F43896D}" userId="S::Daniel.Ionescu@endava.com::b8b073d1-ec26-4b61-a81d-972b3a06ec9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N26" totalsRowCount="1" headerRowDxfId="31" dataDxfId="30" totalsRowDxfId="29" totalsRowBorderDxfId="28">
  <autoFilter ref="A2:N25" xr:uid="{00000000-0009-0000-0100-000001000000}"/>
  <tableColumns count="14">
    <tableColumn id="1" xr3:uid="{00000000-0010-0000-0000-000001000000}" name="ID" totalsRowLabel="Total" dataDxfId="27" totalsRowDxfId="13"/>
    <tableColumn id="13" xr3:uid="{00000000-0010-0000-0000-00000D000000}" name="Capability" dataDxfId="26" totalsRowDxfId="12"/>
    <tableColumn id="2" xr3:uid="{00000000-0010-0000-0000-000002000000}" name="Backlog Item _x000a_(Feature or Story)" dataDxfId="25" totalsRowDxfId="11"/>
    <tableColumn id="3" xr3:uid="{00000000-0010-0000-0000-000003000000}" name="Comments" dataDxfId="24" totalsRowDxfId="10"/>
    <tableColumn id="4" xr3:uid="{00000000-0010-0000-0000-000004000000}" name="Phase" dataDxfId="23" totalsRowDxfId="9"/>
    <tableColumn id="14" xr3:uid="{00000000-0010-0000-0000-00000E000000}" name="Tshirt Sizing" dataDxfId="22" totalsRowDxfId="8"/>
    <tableColumn id="5" xr3:uid="{00000000-0010-0000-0000-000005000000}" name="Story Points" dataDxfId="21" totalsRowDxfId="7"/>
    <tableColumn id="6" xr3:uid="{00000000-0010-0000-0000-000006000000}" name="Business Uncertainty" dataDxfId="20" totalsRowDxfId="6"/>
    <tableColumn id="7" xr3:uid="{00000000-0010-0000-0000-000007000000}" name="Technical Complexity" dataDxfId="19" totalsRowDxfId="5"/>
    <tableColumn id="8" xr3:uid="{00000000-0010-0000-0000-000008000000}" name="BEST CASE" totalsRowFunction="sum" dataDxfId="18" totalsRowDxfId="4">
      <calculatedColumnFormula>IFERROR((K3-K3*M3),0)</calculatedColumnFormula>
    </tableColumn>
    <tableColumn id="9" xr3:uid="{00000000-0010-0000-0000-000009000000}" name="MOST LIKELY" totalsRowFunction="sum" dataDxfId="17" totalsRowDxfId="3">
      <calculatedColumnFormula>IFERROR((IF(ISBLANK(G3),VLOOKUP(F3,lst_TShirt_2_SP_Avg,2,FALSE),G3)),0)</calculatedColumnFormula>
    </tableColumn>
    <tableColumn id="10" xr3:uid="{00000000-0010-0000-0000-00000A000000}" name="WORST CASE" totalsRowFunction="sum" dataDxfId="16" totalsRowDxfId="2">
      <calculatedColumnFormula>K3+K3*M3</calculatedColumnFormula>
    </tableColumn>
    <tableColumn id="11" xr3:uid="{00000000-0010-0000-0000-00000B000000}" name="CONE of Uncertainty" dataDxfId="15" totalsRowDxfId="1">
      <calculatedColumnFormula>IF(H3="Low",VLOOKUP(N3,lst_tshirt_bu,2,FALSE),IF(H3="Medium",VLOOKUP(N3,lst_tshirt_bu,3,FALSE),IF(H3="High",VLOOKUP(N3,lst_tshirt_bu,4,FALSE),0))) + IF(I3="Low",VLOOKUP(N3,lst_tshirt_tc,2,FALSE),IF(I3="Medium",VLOOKUP(N3,lst_tshirt_tc,3,FALSE),IF(I3="High",VLOOKUP(N3,lst_tshirt_tc,4,FALSE),0)))</calculatedColumnFormula>
    </tableColumn>
    <tableColumn id="15" xr3:uid="{00000000-0010-0000-0000-00000F000000}" name="Tshirt Size for Cone Calc" dataDxfId="14" totalsRowDxfId="0">
      <calculatedColumnFormula>IF(ISBLANK(G3),F3,VLOOKUP(G3,lst_SP_to_TShirt,2,FALSE))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3" dT="2021-01-20T17:47:05.98" personId="{198BD51C-F9B4-41BA-94C0-40C96F43896D}" id="{D91021D0-8738-43C2-BD86-E25BA4E3AE9E}">
    <text>Add Avg Velocity for the Team(s) that will implement the features</text>
  </threadedComment>
  <threadedComment ref="D14" dT="2021-01-20T17:46:13.56" personId="{198BD51C-F9B4-41BA-94C0-40C96F43896D}" id="{A811496F-72E2-4D06-ABFE-E4F7C9478640}">
    <text>If needed please add here any effort for the UAT / Preparation for Go-Live. If more granularity is needed then “whole” sprints, please mark this as zero and add in the ‘Features Analysis’ sheet a line with the needed effort</text>
  </threadedComment>
  <threadedComment ref="D15" dT="2021-01-20T17:45:22.41" personId="{198BD51C-F9B4-41BA-94C0-40C96F43896D}" id="{FFC5293C-D332-4A39-9D12-CAB4FE8AAEA1}">
    <text>add if needed. If this is part of the Discovery - you will not needed</text>
  </threadedComment>
</ThreadedComments>
</file>

<file path=xl/threadedComments/threadedComment2.xml><?xml version="1.0" encoding="utf-8"?>
<ThreadedComments xmlns="http://schemas.microsoft.com/office/spreadsheetml/2018/threadedcomments" xmlns:x="http://schemas.openxmlformats.org/spreadsheetml/2006/main">
  <threadedComment ref="G2" dT="2021-08-11T08:34:56.81" personId="{198BD51C-F9B4-41BA-94C0-40C96F43896D}" id="{2189B531-8130-4B18-A836-794D3506CDBD}">
    <text>The cone of uncertainty based on statistical data for a product 
You could adjust these value with your statistics if needed</text>
  </threadedComment>
  <threadedComment ref="L2" dT="2021-08-11T08:37:46.31" personId="{198BD51C-F9B4-41BA-94C0-40C96F43896D}" id="{5923EF78-DF0A-4F57-82B4-BFB7ABC4FC3C}">
    <text>M size correspont to 8 or 13 SP 
the average is 10.5</text>
  </threadedComment>
  <threadedComment ref="P2" dT="2021-08-11T08:38:10.28" personId="{198BD51C-F9B4-41BA-94C0-40C96F43896D}" id="{5494F8AC-4EB6-490E-AD6B-BF174852C587}">
    <text>Possible values for 
Business Uncertainty</text>
  </threadedComment>
  <threadedComment ref="T2" dT="2021-08-11T08:39:49.12" personId="{198BD51C-F9B4-41BA-94C0-40C96F43896D}" id="{8B9E4024-65F7-40AF-88A5-92C6663A27BF}">
    <text>Phase when we plan to
implement the feature</text>
  </threadedComment>
  <threadedComment ref="P11" dT="2021-08-11T08:41:40.08" personId="{198BD51C-F9B4-41BA-94C0-40C96F43896D}" id="{DC53D958-8121-4956-98A0-CE8C7D0123C7}">
    <text>Possible values for 
Technical Complexity</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87B48"/>
  </sheetPr>
  <dimension ref="A1:CI419"/>
  <sheetViews>
    <sheetView tabSelected="1" zoomScale="90" zoomScaleNormal="90" workbookViewId="0">
      <pane ySplit="2" topLeftCell="A3" activePane="bottomLeft" state="frozen"/>
      <selection pane="bottomLeft" activeCell="A3" sqref="A3"/>
    </sheetView>
  </sheetViews>
  <sheetFormatPr defaultColWidth="8.7109375" defaultRowHeight="12"/>
  <cols>
    <col min="1" max="1" width="7.7109375" style="5" bestFit="1" customWidth="1"/>
    <col min="2" max="2" width="14" style="5" bestFit="1" customWidth="1"/>
    <col min="3" max="3" width="17.7109375" style="5" customWidth="1"/>
    <col min="4" max="4" width="11.5703125" style="5" customWidth="1"/>
    <col min="5" max="5" width="10.140625" style="6" bestFit="1" customWidth="1"/>
    <col min="6" max="6" width="10" style="6" customWidth="1"/>
    <col min="7" max="7" width="11.42578125" style="5" customWidth="1"/>
    <col min="8" max="8" width="13" style="7" customWidth="1"/>
    <col min="9" max="9" width="11.42578125" style="7" customWidth="1"/>
    <col min="10" max="10" width="11.42578125" style="18" customWidth="1"/>
    <col min="11" max="11" width="11.42578125" style="19" customWidth="1"/>
    <col min="12" max="12" width="11.42578125" style="20" customWidth="1"/>
    <col min="13" max="13" width="11.42578125" style="8" customWidth="1"/>
    <col min="14" max="14" width="11.42578125" style="5" customWidth="1"/>
    <col min="15" max="87" width="8.7109375" style="26"/>
    <col min="88" max="16384" width="8.7109375" style="5"/>
  </cols>
  <sheetData>
    <row r="1" spans="1:87" ht="18" customHeight="1" thickBot="1">
      <c r="A1" s="155" t="s">
        <v>0</v>
      </c>
      <c r="B1" s="156"/>
      <c r="C1" s="156"/>
      <c r="D1" s="156"/>
      <c r="E1" s="156"/>
      <c r="F1" s="156"/>
      <c r="G1" s="156"/>
      <c r="H1" s="156"/>
      <c r="I1" s="156"/>
      <c r="J1" s="156"/>
      <c r="K1" s="156"/>
      <c r="L1" s="156"/>
      <c r="M1" s="156"/>
      <c r="N1" s="157"/>
    </row>
    <row r="2" spans="1:87" s="17" customFormat="1" ht="47.25">
      <c r="A2" s="31" t="s">
        <v>1</v>
      </c>
      <c r="B2" s="31" t="s">
        <v>2</v>
      </c>
      <c r="C2" s="31" t="s">
        <v>3</v>
      </c>
      <c r="D2" s="31" t="s">
        <v>4</v>
      </c>
      <c r="E2" s="31" t="s">
        <v>5</v>
      </c>
      <c r="F2" s="31" t="s">
        <v>6</v>
      </c>
      <c r="G2" s="31" t="s">
        <v>7</v>
      </c>
      <c r="H2" s="32" t="s">
        <v>8</v>
      </c>
      <c r="I2" s="32" t="s">
        <v>9</v>
      </c>
      <c r="J2" s="32" t="s">
        <v>10</v>
      </c>
      <c r="K2" s="32" t="s">
        <v>11</v>
      </c>
      <c r="L2" s="32" t="s">
        <v>12</v>
      </c>
      <c r="M2" s="33" t="s">
        <v>13</v>
      </c>
      <c r="N2" s="33" t="s">
        <v>14</v>
      </c>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row>
    <row r="3" spans="1:87" s="9" customFormat="1" ht="47.25">
      <c r="A3" s="73">
        <v>1</v>
      </c>
      <c r="B3" s="74" t="s">
        <v>153</v>
      </c>
      <c r="C3" s="74" t="s">
        <v>154</v>
      </c>
      <c r="D3" s="75" t="s">
        <v>155</v>
      </c>
      <c r="E3" s="73" t="s">
        <v>16</v>
      </c>
      <c r="F3" s="73" t="s">
        <v>20</v>
      </c>
      <c r="G3" s="76">
        <v>5</v>
      </c>
      <c r="H3" s="76" t="s">
        <v>18</v>
      </c>
      <c r="I3" s="77" t="s">
        <v>19</v>
      </c>
      <c r="J3" s="78">
        <f t="shared" ref="J3:J25" si="0">IFERROR((K3-K3*M3),0)</f>
        <v>4.75</v>
      </c>
      <c r="K3" s="79">
        <f>IFERROR((IF(ISBLANK(G3),VLOOKUP(F3,lst_TShirt_2_SP_Avg,2,FALSE),G3)),0)</f>
        <v>5</v>
      </c>
      <c r="L3" s="80">
        <f>IFERROR((K3+K3*M3),0)</f>
        <v>5.25</v>
      </c>
      <c r="M3" s="81">
        <f t="shared" ref="M3:M25" si="1">IF(H3="Low",VLOOKUP(N3,lst_tshirt_bu,2,FALSE),IF(H3="Medium",VLOOKUP(N3,lst_tshirt_bu,3,FALSE),IF(H3="High",VLOOKUP(N3,lst_tshirt_bu,4,FALSE),0))) + IF(I3="Low",VLOOKUP(N3,lst_tshirt_tc,2,FALSE),IF(I3="Medium",VLOOKUP(N3,lst_tshirt_tc,3,FALSE),IF(I3="High",VLOOKUP(N3,lst_tshirt_tc,4,FALSE),0)))</f>
        <v>0.05</v>
      </c>
      <c r="N3" s="82" t="str">
        <f t="shared" ref="N3:N25" si="2">IF(ISBLANK(G3),F3,VLOOKUP(G3,lst_SP_to_TShirt,2,FALSE))</f>
        <v>S</v>
      </c>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row>
    <row r="4" spans="1:87" s="9" customFormat="1" ht="31.5">
      <c r="A4" s="73">
        <v>2</v>
      </c>
      <c r="B4" s="74" t="s">
        <v>153</v>
      </c>
      <c r="C4" s="74" t="s">
        <v>156</v>
      </c>
      <c r="D4" s="75" t="s">
        <v>157</v>
      </c>
      <c r="E4" s="73" t="s">
        <v>16</v>
      </c>
      <c r="F4" s="73" t="s">
        <v>22</v>
      </c>
      <c r="G4" s="76">
        <v>8</v>
      </c>
      <c r="H4" s="76" t="s">
        <v>18</v>
      </c>
      <c r="I4" s="77" t="s">
        <v>26</v>
      </c>
      <c r="J4" s="78">
        <f t="shared" si="0"/>
        <v>6.4</v>
      </c>
      <c r="K4" s="79">
        <f t="shared" ref="K4:K25" si="3">IFERROR((IF(ISBLANK(G4),VLOOKUP(F4,lst_TShirt_2_SP_Avg,2,FALSE),G4)),0)</f>
        <v>8</v>
      </c>
      <c r="L4" s="80">
        <f t="shared" ref="L4:L16" si="4">K4+K4*M4</f>
        <v>9.6</v>
      </c>
      <c r="M4" s="81">
        <f t="shared" si="1"/>
        <v>0.2</v>
      </c>
      <c r="N4" s="82" t="str">
        <f t="shared" si="2"/>
        <v>M</v>
      </c>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row>
    <row r="5" spans="1:87" s="9" customFormat="1" ht="63">
      <c r="A5" s="73">
        <v>3</v>
      </c>
      <c r="B5" s="74" t="s">
        <v>153</v>
      </c>
      <c r="C5" s="74" t="s">
        <v>158</v>
      </c>
      <c r="D5" s="75" t="s">
        <v>159</v>
      </c>
      <c r="E5" s="73" t="s">
        <v>16</v>
      </c>
      <c r="F5" s="73" t="s">
        <v>22</v>
      </c>
      <c r="G5" s="76">
        <v>8</v>
      </c>
      <c r="H5" s="76" t="s">
        <v>18</v>
      </c>
      <c r="I5" s="77" t="s">
        <v>18</v>
      </c>
      <c r="J5" s="78">
        <f t="shared" si="0"/>
        <v>8</v>
      </c>
      <c r="K5" s="79">
        <f t="shared" si="3"/>
        <v>8</v>
      </c>
      <c r="L5" s="80">
        <f t="shared" si="4"/>
        <v>8</v>
      </c>
      <c r="M5" s="81">
        <f t="shared" si="1"/>
        <v>0</v>
      </c>
      <c r="N5" s="82" t="str">
        <f t="shared" si="2"/>
        <v>M</v>
      </c>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row>
    <row r="6" spans="1:87" s="9" customFormat="1" ht="78.75">
      <c r="A6" s="73">
        <v>4</v>
      </c>
      <c r="B6" s="74" t="s">
        <v>15</v>
      </c>
      <c r="C6" s="74" t="s">
        <v>160</v>
      </c>
      <c r="D6" s="75" t="s">
        <v>161</v>
      </c>
      <c r="E6" s="73" t="s">
        <v>16</v>
      </c>
      <c r="F6" s="73" t="s">
        <v>20</v>
      </c>
      <c r="G6" s="76">
        <v>3</v>
      </c>
      <c r="H6" s="76" t="s">
        <v>18</v>
      </c>
      <c r="I6" s="77" t="s">
        <v>19</v>
      </c>
      <c r="J6" s="78">
        <f t="shared" si="0"/>
        <v>2.85</v>
      </c>
      <c r="K6" s="79">
        <f t="shared" si="3"/>
        <v>3</v>
      </c>
      <c r="L6" s="80">
        <f>K6+K6*M6</f>
        <v>3.15</v>
      </c>
      <c r="M6" s="81">
        <f t="shared" si="1"/>
        <v>0.05</v>
      </c>
      <c r="N6" s="82" t="str">
        <f t="shared" si="2"/>
        <v>S</v>
      </c>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row>
    <row r="7" spans="1:87" s="9" customFormat="1" ht="15.75">
      <c r="A7" s="73">
        <v>5</v>
      </c>
      <c r="B7" s="74" t="s">
        <v>15</v>
      </c>
      <c r="C7" s="74" t="s">
        <v>21</v>
      </c>
      <c r="D7" s="75"/>
      <c r="E7" s="73" t="s">
        <v>16</v>
      </c>
      <c r="F7" s="73" t="s">
        <v>143</v>
      </c>
      <c r="G7" s="76"/>
      <c r="H7" s="76" t="s">
        <v>18</v>
      </c>
      <c r="I7" s="77" t="s">
        <v>18</v>
      </c>
      <c r="J7" s="78">
        <f t="shared" si="0"/>
        <v>0</v>
      </c>
      <c r="K7" s="79">
        <f t="shared" si="3"/>
        <v>0</v>
      </c>
      <c r="L7" s="80">
        <f t="shared" si="4"/>
        <v>0</v>
      </c>
      <c r="M7" s="81">
        <f t="shared" si="1"/>
        <v>0</v>
      </c>
      <c r="N7" s="82" t="str">
        <f t="shared" si="2"/>
        <v>zero</v>
      </c>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row>
    <row r="8" spans="1:87" s="9" customFormat="1" ht="15.75">
      <c r="A8" s="73">
        <v>6</v>
      </c>
      <c r="B8" s="74" t="s">
        <v>15</v>
      </c>
      <c r="C8" s="74" t="s">
        <v>23</v>
      </c>
      <c r="D8" s="75"/>
      <c r="E8" s="73" t="s">
        <v>16</v>
      </c>
      <c r="F8" s="73" t="s">
        <v>143</v>
      </c>
      <c r="G8" s="76"/>
      <c r="H8" s="76" t="s">
        <v>18</v>
      </c>
      <c r="I8" s="77" t="s">
        <v>18</v>
      </c>
      <c r="J8" s="78">
        <f t="shared" si="0"/>
        <v>0</v>
      </c>
      <c r="K8" s="79">
        <f t="shared" si="3"/>
        <v>0</v>
      </c>
      <c r="L8" s="80">
        <f t="shared" si="4"/>
        <v>0</v>
      </c>
      <c r="M8" s="81">
        <f t="shared" si="1"/>
        <v>0</v>
      </c>
      <c r="N8" s="82" t="str">
        <f t="shared" si="2"/>
        <v>zero</v>
      </c>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row>
    <row r="9" spans="1:87" s="9" customFormat="1" ht="15.75">
      <c r="A9" s="73">
        <v>7</v>
      </c>
      <c r="B9" s="74" t="s">
        <v>15</v>
      </c>
      <c r="C9" s="74" t="s">
        <v>24</v>
      </c>
      <c r="D9" s="75"/>
      <c r="E9" s="73" t="s">
        <v>25</v>
      </c>
      <c r="F9" s="73" t="s">
        <v>143</v>
      </c>
      <c r="G9" s="76"/>
      <c r="H9" s="76" t="s">
        <v>19</v>
      </c>
      <c r="I9" s="77" t="s">
        <v>19</v>
      </c>
      <c r="J9" s="78">
        <f t="shared" si="0"/>
        <v>0</v>
      </c>
      <c r="K9" s="79">
        <f t="shared" si="3"/>
        <v>0</v>
      </c>
      <c r="L9" s="80">
        <f t="shared" si="4"/>
        <v>0</v>
      </c>
      <c r="M9" s="81">
        <f t="shared" si="1"/>
        <v>0</v>
      </c>
      <c r="N9" s="82" t="str">
        <f t="shared" si="2"/>
        <v>zero</v>
      </c>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row>
    <row r="10" spans="1:87" s="9" customFormat="1" ht="15.75">
      <c r="A10" s="73">
        <v>8</v>
      </c>
      <c r="B10" s="74" t="s">
        <v>15</v>
      </c>
      <c r="C10" s="74" t="s">
        <v>27</v>
      </c>
      <c r="D10" s="75"/>
      <c r="E10" s="73" t="s">
        <v>16</v>
      </c>
      <c r="F10" s="73" t="s">
        <v>143</v>
      </c>
      <c r="G10" s="76"/>
      <c r="H10" s="76" t="s">
        <v>19</v>
      </c>
      <c r="I10" s="77" t="s">
        <v>18</v>
      </c>
      <c r="J10" s="78">
        <f t="shared" si="0"/>
        <v>0</v>
      </c>
      <c r="K10" s="79">
        <f t="shared" si="3"/>
        <v>0</v>
      </c>
      <c r="L10" s="80">
        <f t="shared" si="4"/>
        <v>0</v>
      </c>
      <c r="M10" s="81">
        <f t="shared" si="1"/>
        <v>0</v>
      </c>
      <c r="N10" s="82" t="str">
        <f t="shared" si="2"/>
        <v>zero</v>
      </c>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row>
    <row r="11" spans="1:87" s="9" customFormat="1" ht="15.75">
      <c r="A11" s="73">
        <v>9</v>
      </c>
      <c r="B11" s="74" t="s">
        <v>15</v>
      </c>
      <c r="C11" s="74" t="s">
        <v>28</v>
      </c>
      <c r="D11" s="75"/>
      <c r="E11" s="73" t="s">
        <v>16</v>
      </c>
      <c r="F11" s="73" t="s">
        <v>143</v>
      </c>
      <c r="G11" s="76"/>
      <c r="H11" s="76" t="s">
        <v>18</v>
      </c>
      <c r="I11" s="77" t="s">
        <v>19</v>
      </c>
      <c r="J11" s="78">
        <f t="shared" si="0"/>
        <v>0</v>
      </c>
      <c r="K11" s="79">
        <f t="shared" si="3"/>
        <v>0</v>
      </c>
      <c r="L11" s="80">
        <f t="shared" si="4"/>
        <v>0</v>
      </c>
      <c r="M11" s="81">
        <f t="shared" si="1"/>
        <v>0</v>
      </c>
      <c r="N11" s="82" t="str">
        <f t="shared" si="2"/>
        <v>zero</v>
      </c>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row>
    <row r="12" spans="1:87" s="9" customFormat="1" ht="15.75">
      <c r="A12" s="73">
        <v>10</v>
      </c>
      <c r="B12" s="74" t="s">
        <v>15</v>
      </c>
      <c r="C12" s="74" t="s">
        <v>29</v>
      </c>
      <c r="D12" s="75"/>
      <c r="E12" s="73" t="s">
        <v>16</v>
      </c>
      <c r="F12" s="73" t="s">
        <v>143</v>
      </c>
      <c r="G12" s="76"/>
      <c r="H12" s="76" t="s">
        <v>18</v>
      </c>
      <c r="I12" s="77" t="s">
        <v>18</v>
      </c>
      <c r="J12" s="78">
        <f t="shared" si="0"/>
        <v>0</v>
      </c>
      <c r="K12" s="79">
        <f t="shared" si="3"/>
        <v>0</v>
      </c>
      <c r="L12" s="80">
        <f t="shared" si="4"/>
        <v>0</v>
      </c>
      <c r="M12" s="81">
        <f t="shared" si="1"/>
        <v>0</v>
      </c>
      <c r="N12" s="82" t="str">
        <f t="shared" si="2"/>
        <v>zero</v>
      </c>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row>
    <row r="13" spans="1:87" s="9" customFormat="1" ht="15.75">
      <c r="A13" s="73">
        <v>11</v>
      </c>
      <c r="B13" s="74" t="s">
        <v>15</v>
      </c>
      <c r="C13" s="74" t="s">
        <v>30</v>
      </c>
      <c r="D13" s="75"/>
      <c r="E13" s="73" t="s">
        <v>31</v>
      </c>
      <c r="F13" s="73" t="s">
        <v>143</v>
      </c>
      <c r="G13" s="76"/>
      <c r="H13" s="76" t="s">
        <v>18</v>
      </c>
      <c r="I13" s="77" t="s">
        <v>18</v>
      </c>
      <c r="J13" s="78">
        <f t="shared" si="0"/>
        <v>0</v>
      </c>
      <c r="K13" s="79">
        <f t="shared" si="3"/>
        <v>0</v>
      </c>
      <c r="L13" s="80">
        <f t="shared" si="4"/>
        <v>0</v>
      </c>
      <c r="M13" s="81">
        <f t="shared" si="1"/>
        <v>0</v>
      </c>
      <c r="N13" s="82" t="str">
        <f t="shared" si="2"/>
        <v>zero</v>
      </c>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row>
    <row r="14" spans="1:87" s="9" customFormat="1" ht="15.75">
      <c r="A14" s="73">
        <v>12</v>
      </c>
      <c r="B14" s="74" t="s">
        <v>15</v>
      </c>
      <c r="C14" s="74" t="s">
        <v>32</v>
      </c>
      <c r="D14" s="75"/>
      <c r="E14" s="73" t="s">
        <v>31</v>
      </c>
      <c r="F14" s="73" t="s">
        <v>143</v>
      </c>
      <c r="G14" s="76"/>
      <c r="H14" s="76" t="s">
        <v>26</v>
      </c>
      <c r="I14" s="77" t="s">
        <v>19</v>
      </c>
      <c r="J14" s="78">
        <f t="shared" si="0"/>
        <v>0</v>
      </c>
      <c r="K14" s="79">
        <f t="shared" si="3"/>
        <v>0</v>
      </c>
      <c r="L14" s="80">
        <f t="shared" si="4"/>
        <v>0</v>
      </c>
      <c r="M14" s="81">
        <f t="shared" si="1"/>
        <v>0</v>
      </c>
      <c r="N14" s="82" t="str">
        <f t="shared" si="2"/>
        <v>zero</v>
      </c>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row>
    <row r="15" spans="1:87" s="9" customFormat="1" ht="15.75">
      <c r="A15" s="73">
        <v>13</v>
      </c>
      <c r="B15" s="74" t="s">
        <v>15</v>
      </c>
      <c r="C15" s="74" t="s">
        <v>33</v>
      </c>
      <c r="D15" s="75"/>
      <c r="E15" s="73" t="s">
        <v>16</v>
      </c>
      <c r="F15" s="73" t="s">
        <v>143</v>
      </c>
      <c r="G15" s="76"/>
      <c r="H15" s="76" t="s">
        <v>18</v>
      </c>
      <c r="I15" s="77" t="s">
        <v>18</v>
      </c>
      <c r="J15" s="78">
        <f t="shared" si="0"/>
        <v>0</v>
      </c>
      <c r="K15" s="79">
        <f t="shared" si="3"/>
        <v>0</v>
      </c>
      <c r="L15" s="80">
        <f t="shared" si="4"/>
        <v>0</v>
      </c>
      <c r="M15" s="81">
        <f t="shared" si="1"/>
        <v>0</v>
      </c>
      <c r="N15" s="82" t="str">
        <f t="shared" si="2"/>
        <v>zero</v>
      </c>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row>
    <row r="16" spans="1:87" s="10" customFormat="1" ht="16.5" thickBot="1">
      <c r="A16" s="73">
        <v>14</v>
      </c>
      <c r="B16" s="74" t="s">
        <v>34</v>
      </c>
      <c r="C16" s="74" t="s">
        <v>35</v>
      </c>
      <c r="D16" s="75"/>
      <c r="E16" s="73" t="s">
        <v>16</v>
      </c>
      <c r="F16" s="73" t="s">
        <v>143</v>
      </c>
      <c r="G16" s="76"/>
      <c r="H16" s="76" t="s">
        <v>18</v>
      </c>
      <c r="I16" s="77" t="s">
        <v>19</v>
      </c>
      <c r="J16" s="78">
        <f t="shared" si="0"/>
        <v>0</v>
      </c>
      <c r="K16" s="79">
        <f t="shared" si="3"/>
        <v>0</v>
      </c>
      <c r="L16" s="80">
        <f t="shared" si="4"/>
        <v>0</v>
      </c>
      <c r="M16" s="81">
        <f t="shared" si="1"/>
        <v>0</v>
      </c>
      <c r="N16" s="82" t="str">
        <f t="shared" si="2"/>
        <v>zero</v>
      </c>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row>
    <row r="17" spans="1:87" s="11" customFormat="1" ht="15.75">
      <c r="A17" s="73">
        <v>15</v>
      </c>
      <c r="B17" s="74" t="s">
        <v>34</v>
      </c>
      <c r="C17" s="74" t="s">
        <v>37</v>
      </c>
      <c r="D17" s="75"/>
      <c r="E17" s="73" t="s">
        <v>31</v>
      </c>
      <c r="F17" s="73" t="s">
        <v>143</v>
      </c>
      <c r="G17" s="76"/>
      <c r="H17" s="76" t="s">
        <v>19</v>
      </c>
      <c r="I17" s="77" t="s">
        <v>18</v>
      </c>
      <c r="J17" s="78">
        <f t="shared" si="0"/>
        <v>0</v>
      </c>
      <c r="K17" s="79">
        <f t="shared" si="3"/>
        <v>0</v>
      </c>
      <c r="L17" s="80">
        <f t="shared" ref="L17" si="5">K17+K17*M17</f>
        <v>0</v>
      </c>
      <c r="M17" s="81">
        <f t="shared" si="1"/>
        <v>0</v>
      </c>
      <c r="N17" s="82" t="str">
        <f t="shared" si="2"/>
        <v>zero</v>
      </c>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row>
    <row r="18" spans="1:87" s="9" customFormat="1" ht="15.75">
      <c r="A18" s="73">
        <v>16</v>
      </c>
      <c r="B18" s="74" t="s">
        <v>34</v>
      </c>
      <c r="C18" s="74" t="s">
        <v>38</v>
      </c>
      <c r="D18" s="75"/>
      <c r="E18" s="73" t="s">
        <v>31</v>
      </c>
      <c r="F18" s="73" t="s">
        <v>143</v>
      </c>
      <c r="G18" s="76"/>
      <c r="H18" s="76" t="s">
        <v>19</v>
      </c>
      <c r="I18" s="77" t="s">
        <v>19</v>
      </c>
      <c r="J18" s="78">
        <f t="shared" si="0"/>
        <v>0</v>
      </c>
      <c r="K18" s="79">
        <f t="shared" si="3"/>
        <v>0</v>
      </c>
      <c r="L18" s="80">
        <f t="shared" ref="L18:L23" si="6">K18+K18*M18</f>
        <v>0</v>
      </c>
      <c r="M18" s="81">
        <f t="shared" si="1"/>
        <v>0</v>
      </c>
      <c r="N18" s="82" t="str">
        <f t="shared" si="2"/>
        <v>zero</v>
      </c>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row>
    <row r="19" spans="1:87" s="9" customFormat="1" ht="15.75">
      <c r="A19" s="73">
        <v>17</v>
      </c>
      <c r="B19" s="74" t="s">
        <v>34</v>
      </c>
      <c r="C19" s="74" t="s">
        <v>39</v>
      </c>
      <c r="D19" s="75"/>
      <c r="E19" s="73" t="s">
        <v>31</v>
      </c>
      <c r="F19" s="73" t="s">
        <v>143</v>
      </c>
      <c r="G19" s="76"/>
      <c r="H19" s="76" t="s">
        <v>19</v>
      </c>
      <c r="I19" s="77" t="s">
        <v>18</v>
      </c>
      <c r="J19" s="78">
        <f t="shared" si="0"/>
        <v>0</v>
      </c>
      <c r="K19" s="79">
        <f t="shared" si="3"/>
        <v>0</v>
      </c>
      <c r="L19" s="80">
        <f t="shared" si="6"/>
        <v>0</v>
      </c>
      <c r="M19" s="81">
        <f t="shared" si="1"/>
        <v>0</v>
      </c>
      <c r="N19" s="82" t="str">
        <f t="shared" si="2"/>
        <v>zero</v>
      </c>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row>
    <row r="20" spans="1:87" s="9" customFormat="1" ht="15.75">
      <c r="A20" s="73">
        <v>18</v>
      </c>
      <c r="B20" s="74" t="s">
        <v>34</v>
      </c>
      <c r="C20" s="74" t="s">
        <v>40</v>
      </c>
      <c r="D20" s="75"/>
      <c r="E20" s="73" t="s">
        <v>31</v>
      </c>
      <c r="F20" s="73" t="s">
        <v>143</v>
      </c>
      <c r="G20" s="76"/>
      <c r="H20" s="76" t="s">
        <v>18</v>
      </c>
      <c r="I20" s="77" t="s">
        <v>19</v>
      </c>
      <c r="J20" s="78">
        <f t="shared" si="0"/>
        <v>0</v>
      </c>
      <c r="K20" s="79">
        <f t="shared" si="3"/>
        <v>0</v>
      </c>
      <c r="L20" s="80">
        <f t="shared" si="6"/>
        <v>0</v>
      </c>
      <c r="M20" s="81">
        <f t="shared" si="1"/>
        <v>0</v>
      </c>
      <c r="N20" s="82" t="str">
        <f t="shared" si="2"/>
        <v>zero</v>
      </c>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row>
    <row r="21" spans="1:87" s="9" customFormat="1" ht="15.75">
      <c r="A21" s="73">
        <v>19</v>
      </c>
      <c r="B21" s="74" t="s">
        <v>34</v>
      </c>
      <c r="C21" s="74" t="s">
        <v>42</v>
      </c>
      <c r="D21" s="75"/>
      <c r="E21" s="73" t="s">
        <v>25</v>
      </c>
      <c r="F21" s="73" t="s">
        <v>143</v>
      </c>
      <c r="G21" s="76"/>
      <c r="H21" s="76" t="s">
        <v>18</v>
      </c>
      <c r="I21" s="77" t="s">
        <v>19</v>
      </c>
      <c r="J21" s="78">
        <f t="shared" si="0"/>
        <v>0</v>
      </c>
      <c r="K21" s="79">
        <f t="shared" si="3"/>
        <v>0</v>
      </c>
      <c r="L21" s="80">
        <f t="shared" si="6"/>
        <v>0</v>
      </c>
      <c r="M21" s="81">
        <f t="shared" si="1"/>
        <v>0</v>
      </c>
      <c r="N21" s="82" t="str">
        <f t="shared" si="2"/>
        <v>zero</v>
      </c>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row>
    <row r="22" spans="1:87" s="9" customFormat="1" ht="15.75">
      <c r="A22" s="73">
        <v>20</v>
      </c>
      <c r="B22" s="74" t="s">
        <v>34</v>
      </c>
      <c r="C22" s="74" t="s">
        <v>43</v>
      </c>
      <c r="D22" s="75"/>
      <c r="E22" s="73" t="s">
        <v>31</v>
      </c>
      <c r="F22" s="73" t="s">
        <v>143</v>
      </c>
      <c r="G22" s="76"/>
      <c r="H22" s="76" t="s">
        <v>19</v>
      </c>
      <c r="I22" s="77" t="s">
        <v>18</v>
      </c>
      <c r="J22" s="78">
        <f t="shared" si="0"/>
        <v>0</v>
      </c>
      <c r="K22" s="79">
        <f t="shared" si="3"/>
        <v>0</v>
      </c>
      <c r="L22" s="80">
        <f t="shared" si="6"/>
        <v>0</v>
      </c>
      <c r="M22" s="81">
        <f t="shared" si="1"/>
        <v>0</v>
      </c>
      <c r="N22" s="82" t="str">
        <f t="shared" si="2"/>
        <v>zero</v>
      </c>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row>
    <row r="23" spans="1:87" s="9" customFormat="1" ht="15.75">
      <c r="A23" s="73">
        <v>21</v>
      </c>
      <c r="B23" s="74" t="s">
        <v>34</v>
      </c>
      <c r="C23" s="74" t="s">
        <v>44</v>
      </c>
      <c r="D23" s="75"/>
      <c r="E23" s="73" t="s">
        <v>25</v>
      </c>
      <c r="F23" s="73" t="s">
        <v>143</v>
      </c>
      <c r="G23" s="76"/>
      <c r="H23" s="76" t="s">
        <v>19</v>
      </c>
      <c r="I23" s="77" t="s">
        <v>19</v>
      </c>
      <c r="J23" s="78">
        <f t="shared" si="0"/>
        <v>0</v>
      </c>
      <c r="K23" s="79">
        <f t="shared" si="3"/>
        <v>0</v>
      </c>
      <c r="L23" s="80">
        <f t="shared" si="6"/>
        <v>0</v>
      </c>
      <c r="M23" s="81">
        <f t="shared" si="1"/>
        <v>0</v>
      </c>
      <c r="N23" s="82" t="str">
        <f t="shared" si="2"/>
        <v>zero</v>
      </c>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row>
    <row r="24" spans="1:87" s="9" customFormat="1" ht="15.75">
      <c r="A24" s="73">
        <v>22</v>
      </c>
      <c r="B24" s="74" t="s">
        <v>34</v>
      </c>
      <c r="C24" s="74" t="s">
        <v>45</v>
      </c>
      <c r="D24" s="75"/>
      <c r="E24" s="73" t="s">
        <v>25</v>
      </c>
      <c r="F24" s="73" t="s">
        <v>143</v>
      </c>
      <c r="G24" s="76"/>
      <c r="H24" s="76" t="s">
        <v>26</v>
      </c>
      <c r="I24" s="77" t="s">
        <v>18</v>
      </c>
      <c r="J24" s="78">
        <f t="shared" si="0"/>
        <v>0</v>
      </c>
      <c r="K24" s="79">
        <f t="shared" si="3"/>
        <v>0</v>
      </c>
      <c r="L24" s="80">
        <f t="shared" ref="L24:L25" si="7">K24+K24*M24</f>
        <v>0</v>
      </c>
      <c r="M24" s="81">
        <f t="shared" si="1"/>
        <v>0</v>
      </c>
      <c r="N24" s="82" t="str">
        <f t="shared" si="2"/>
        <v>zero</v>
      </c>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row>
    <row r="25" spans="1:87" s="9" customFormat="1" ht="16.5" thickBot="1">
      <c r="A25" s="83">
        <v>23</v>
      </c>
      <c r="B25" s="84" t="s">
        <v>34</v>
      </c>
      <c r="C25" s="84" t="s">
        <v>46</v>
      </c>
      <c r="D25" s="85"/>
      <c r="E25" s="83" t="s">
        <v>25</v>
      </c>
      <c r="F25" s="83" t="s">
        <v>143</v>
      </c>
      <c r="G25" s="86"/>
      <c r="H25" s="86" t="s">
        <v>18</v>
      </c>
      <c r="I25" s="87" t="s">
        <v>18</v>
      </c>
      <c r="J25" s="88">
        <f t="shared" si="0"/>
        <v>0</v>
      </c>
      <c r="K25" s="89">
        <f t="shared" si="3"/>
        <v>0</v>
      </c>
      <c r="L25" s="90">
        <f t="shared" si="7"/>
        <v>0</v>
      </c>
      <c r="M25" s="91">
        <f t="shared" si="1"/>
        <v>0</v>
      </c>
      <c r="N25" s="92" t="str">
        <f t="shared" si="2"/>
        <v>zero</v>
      </c>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row>
    <row r="26" spans="1:87" s="16" customFormat="1" ht="17.25" customHeight="1" thickBot="1">
      <c r="A26" s="51" t="s">
        <v>48</v>
      </c>
      <c r="B26" s="52"/>
      <c r="C26" s="53"/>
      <c r="D26" s="53"/>
      <c r="E26" s="52"/>
      <c r="F26" s="52"/>
      <c r="G26" s="52"/>
      <c r="H26" s="53"/>
      <c r="I26" s="54"/>
      <c r="J26" s="55">
        <f>SUBTOTAL(109,Table1[BEST CASE])</f>
        <v>22</v>
      </c>
      <c r="K26" s="55">
        <f>SUBTOTAL(109,Table1[MOST LIKELY])</f>
        <v>24</v>
      </c>
      <c r="L26" s="55">
        <f>SUBTOTAL(109,Table1[WORST CASE])</f>
        <v>26</v>
      </c>
      <c r="M26" s="56"/>
      <c r="N26" s="57"/>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row>
    <row r="27" spans="1:87">
      <c r="A27" s="13"/>
      <c r="B27" s="13"/>
      <c r="C27" s="13"/>
      <c r="D27" s="13"/>
      <c r="E27" s="13"/>
      <c r="F27" s="13"/>
      <c r="G27" s="13"/>
      <c r="H27" s="13"/>
      <c r="I27" s="13"/>
      <c r="J27" s="13"/>
      <c r="K27" s="13"/>
      <c r="L27" s="13"/>
      <c r="M27" s="13"/>
    </row>
    <row r="28" spans="1:87">
      <c r="A28" s="13"/>
      <c r="B28" s="13"/>
      <c r="C28" s="13"/>
      <c r="D28" s="13"/>
      <c r="E28" s="13"/>
      <c r="F28" s="13"/>
      <c r="G28" s="13"/>
      <c r="H28" s="13"/>
      <c r="I28" s="13"/>
      <c r="J28" s="13"/>
      <c r="K28" s="13"/>
      <c r="L28" s="13"/>
      <c r="M28" s="13"/>
      <c r="N28" s="13"/>
      <c r="O28" s="30"/>
      <c r="P28" s="30"/>
      <c r="Q28" s="30"/>
    </row>
    <row r="29" spans="1:87">
      <c r="A29" s="9"/>
      <c r="B29" s="9"/>
      <c r="C29" s="9"/>
      <c r="D29" s="9"/>
      <c r="E29" s="12"/>
      <c r="F29" s="12"/>
      <c r="H29" s="13"/>
      <c r="I29" s="13"/>
      <c r="J29" s="13"/>
      <c r="K29" s="13"/>
      <c r="L29" s="13"/>
      <c r="M29" s="13"/>
      <c r="N29" s="13"/>
      <c r="O29" s="30"/>
      <c r="P29" s="30"/>
      <c r="Q29" s="30"/>
    </row>
    <row r="30" spans="1:87">
      <c r="I30" s="13"/>
      <c r="J30" s="13"/>
      <c r="K30" s="13"/>
      <c r="L30" s="13"/>
      <c r="M30" s="13"/>
      <c r="N30" s="13"/>
      <c r="O30" s="30"/>
      <c r="P30" s="30"/>
      <c r="Q30" s="30"/>
    </row>
    <row r="31" spans="1:87">
      <c r="I31" s="13"/>
      <c r="J31" s="13"/>
      <c r="K31" s="13"/>
      <c r="L31" s="13"/>
      <c r="M31" s="13"/>
      <c r="N31" s="13"/>
      <c r="O31" s="30"/>
      <c r="P31" s="30"/>
      <c r="Q31" s="30"/>
    </row>
    <row r="32" spans="1:87">
      <c r="I32" s="13"/>
      <c r="J32" s="13"/>
      <c r="K32" s="13"/>
      <c r="L32" s="13"/>
      <c r="M32" s="13"/>
      <c r="N32" s="13"/>
      <c r="O32" s="30"/>
      <c r="P32" s="30"/>
      <c r="Q32" s="30"/>
    </row>
    <row r="33" spans="9:17">
      <c r="I33" s="13"/>
      <c r="J33" s="13"/>
      <c r="K33" s="13"/>
      <c r="L33" s="13"/>
      <c r="M33" s="13"/>
      <c r="N33" s="13"/>
      <c r="O33" s="30"/>
      <c r="P33" s="30"/>
      <c r="Q33" s="30"/>
    </row>
    <row r="34" spans="9:17">
      <c r="I34" s="13"/>
      <c r="J34" s="13"/>
      <c r="K34" s="13"/>
      <c r="L34" s="13"/>
      <c r="M34" s="13"/>
      <c r="N34" s="13"/>
      <c r="O34" s="30"/>
      <c r="P34" s="30"/>
      <c r="Q34" s="30"/>
    </row>
    <row r="35" spans="9:17">
      <c r="I35" s="13"/>
      <c r="J35" s="13"/>
      <c r="K35" s="13"/>
      <c r="L35" s="13"/>
      <c r="M35" s="13"/>
      <c r="N35" s="13"/>
      <c r="O35" s="30"/>
      <c r="P35" s="30"/>
      <c r="Q35" s="30"/>
    </row>
    <row r="36" spans="9:17">
      <c r="I36" s="13"/>
      <c r="J36" s="13"/>
      <c r="K36" s="13"/>
      <c r="L36" s="13"/>
      <c r="M36" s="13"/>
      <c r="N36" s="13"/>
      <c r="O36" s="30"/>
      <c r="P36" s="30"/>
      <c r="Q36" s="30"/>
    </row>
    <row r="37" spans="9:17">
      <c r="I37" s="13"/>
      <c r="J37" s="13"/>
      <c r="K37" s="13"/>
      <c r="L37" s="13"/>
      <c r="M37" s="13"/>
      <c r="N37" s="13"/>
      <c r="O37" s="30"/>
      <c r="P37" s="30"/>
      <c r="Q37" s="30"/>
    </row>
    <row r="38" spans="9:17">
      <c r="I38" s="13"/>
      <c r="J38" s="13"/>
      <c r="K38" s="13"/>
      <c r="L38" s="13"/>
      <c r="M38" s="13"/>
      <c r="N38" s="13"/>
      <c r="O38" s="30"/>
      <c r="P38" s="30"/>
      <c r="Q38" s="30"/>
    </row>
    <row r="39" spans="9:17">
      <c r="I39" s="13"/>
      <c r="J39" s="13"/>
      <c r="K39" s="13"/>
      <c r="L39" s="13"/>
      <c r="M39" s="13"/>
      <c r="N39" s="13"/>
      <c r="O39" s="30"/>
      <c r="P39" s="30"/>
      <c r="Q39" s="30"/>
    </row>
    <row r="40" spans="9:17">
      <c r="I40" s="13"/>
      <c r="J40" s="13"/>
      <c r="K40" s="13"/>
      <c r="L40" s="13"/>
      <c r="M40" s="13"/>
      <c r="N40" s="13"/>
      <c r="O40" s="30"/>
      <c r="P40" s="30"/>
      <c r="Q40" s="30"/>
    </row>
    <row r="41" spans="9:17">
      <c r="I41" s="13"/>
      <c r="J41" s="13"/>
      <c r="K41" s="13"/>
      <c r="L41" s="13"/>
      <c r="M41" s="13"/>
      <c r="N41" s="13"/>
      <c r="O41" s="30"/>
      <c r="P41" s="30"/>
      <c r="Q41" s="30"/>
    </row>
    <row r="42" spans="9:17">
      <c r="I42" s="13"/>
      <c r="J42" s="13"/>
      <c r="K42" s="13"/>
      <c r="L42" s="13"/>
      <c r="M42" s="13"/>
      <c r="N42" s="13"/>
      <c r="O42" s="30"/>
      <c r="P42" s="30"/>
      <c r="Q42" s="30"/>
    </row>
    <row r="43" spans="9:17">
      <c r="I43" s="13"/>
      <c r="J43" s="13"/>
      <c r="K43" s="13"/>
      <c r="L43" s="13"/>
      <c r="M43" s="13"/>
      <c r="N43" s="13"/>
      <c r="O43" s="30"/>
      <c r="P43" s="30"/>
      <c r="Q43" s="30"/>
    </row>
    <row r="44" spans="9:17">
      <c r="I44" s="13"/>
      <c r="J44" s="13"/>
      <c r="K44" s="13"/>
      <c r="L44" s="13"/>
      <c r="M44" s="13"/>
      <c r="N44" s="13"/>
      <c r="O44" s="30"/>
      <c r="P44" s="30"/>
      <c r="Q44" s="30"/>
    </row>
    <row r="45" spans="9:17">
      <c r="I45" s="13"/>
      <c r="J45" s="13"/>
      <c r="K45" s="13"/>
      <c r="L45" s="13"/>
      <c r="M45" s="13"/>
      <c r="N45" s="13"/>
      <c r="O45" s="30"/>
      <c r="P45" s="30"/>
      <c r="Q45" s="30"/>
    </row>
    <row r="46" spans="9:17">
      <c r="I46" s="13"/>
      <c r="J46" s="13"/>
      <c r="K46" s="13"/>
      <c r="L46" s="13"/>
      <c r="M46" s="13"/>
      <c r="N46" s="13"/>
      <c r="O46" s="30"/>
      <c r="P46" s="30"/>
      <c r="Q46" s="30"/>
    </row>
    <row r="47" spans="9:17">
      <c r="I47" s="13"/>
      <c r="J47" s="13"/>
      <c r="K47" s="13"/>
      <c r="L47" s="13"/>
      <c r="M47" s="13"/>
      <c r="N47" s="13"/>
      <c r="O47" s="30"/>
      <c r="P47" s="30"/>
      <c r="Q47" s="30"/>
    </row>
    <row r="48" spans="9:17">
      <c r="I48" s="13"/>
      <c r="J48" s="13"/>
      <c r="K48" s="13"/>
      <c r="L48" s="13"/>
      <c r="M48" s="13"/>
      <c r="N48" s="13"/>
      <c r="O48" s="30"/>
      <c r="P48" s="30"/>
      <c r="Q48" s="30"/>
    </row>
    <row r="49" spans="9:17">
      <c r="I49" s="13"/>
      <c r="J49" s="13"/>
      <c r="K49" s="13"/>
      <c r="L49" s="13"/>
      <c r="M49" s="13"/>
      <c r="N49" s="13"/>
      <c r="O49" s="30"/>
      <c r="P49" s="30"/>
      <c r="Q49" s="30"/>
    </row>
    <row r="50" spans="9:17">
      <c r="I50" s="13"/>
      <c r="J50" s="13"/>
      <c r="K50" s="13"/>
      <c r="L50" s="13"/>
      <c r="M50" s="13"/>
      <c r="N50" s="13"/>
      <c r="O50" s="30"/>
      <c r="P50" s="30"/>
      <c r="Q50" s="30"/>
    </row>
    <row r="51" spans="9:17">
      <c r="I51" s="13"/>
      <c r="J51" s="13"/>
      <c r="K51" s="13"/>
      <c r="L51" s="13"/>
      <c r="M51" s="13"/>
      <c r="N51" s="13"/>
      <c r="O51" s="30"/>
      <c r="P51" s="30"/>
      <c r="Q51" s="30"/>
    </row>
    <row r="52" spans="9:17">
      <c r="I52" s="13"/>
      <c r="J52" s="13"/>
      <c r="K52" s="13"/>
      <c r="L52" s="13"/>
      <c r="M52" s="13"/>
      <c r="N52" s="13"/>
      <c r="O52" s="30"/>
      <c r="P52" s="30"/>
      <c r="Q52" s="30"/>
    </row>
    <row r="53" spans="9:17">
      <c r="I53" s="13"/>
      <c r="J53" s="13"/>
      <c r="K53" s="13"/>
      <c r="L53" s="13"/>
      <c r="M53" s="13"/>
      <c r="N53" s="13"/>
      <c r="O53" s="30"/>
      <c r="P53" s="30"/>
      <c r="Q53" s="30"/>
    </row>
    <row r="54" spans="9:17">
      <c r="I54" s="13"/>
      <c r="J54" s="13"/>
      <c r="K54" s="13"/>
      <c r="L54" s="13"/>
      <c r="M54" s="13"/>
      <c r="N54" s="13"/>
      <c r="O54" s="30"/>
      <c r="P54" s="30"/>
      <c r="Q54" s="30"/>
    </row>
    <row r="55" spans="9:17">
      <c r="I55" s="13"/>
      <c r="J55" s="13"/>
      <c r="K55" s="13"/>
      <c r="L55" s="13"/>
      <c r="M55" s="13"/>
      <c r="N55" s="13"/>
      <c r="O55" s="30"/>
      <c r="P55" s="30"/>
      <c r="Q55" s="30"/>
    </row>
    <row r="56" spans="9:17">
      <c r="I56" s="13"/>
      <c r="J56" s="13"/>
      <c r="K56" s="13"/>
      <c r="L56" s="13"/>
      <c r="M56" s="13"/>
      <c r="N56" s="13"/>
      <c r="O56" s="30"/>
      <c r="P56" s="30"/>
      <c r="Q56" s="30"/>
    </row>
    <row r="57" spans="9:17">
      <c r="I57" s="13"/>
      <c r="J57" s="13"/>
      <c r="K57" s="13"/>
      <c r="L57" s="13"/>
      <c r="M57" s="13"/>
      <c r="N57" s="13"/>
      <c r="O57" s="30"/>
      <c r="P57" s="30"/>
      <c r="Q57" s="30"/>
    </row>
    <row r="58" spans="9:17">
      <c r="I58" s="13"/>
      <c r="J58" s="13"/>
      <c r="K58" s="13"/>
      <c r="L58" s="13"/>
      <c r="M58" s="13"/>
      <c r="N58" s="13"/>
      <c r="O58" s="30"/>
      <c r="P58" s="30"/>
      <c r="Q58" s="30"/>
    </row>
    <row r="59" spans="9:17">
      <c r="I59" s="13"/>
      <c r="J59" s="13"/>
      <c r="K59" s="13"/>
      <c r="L59" s="13"/>
      <c r="M59" s="13"/>
      <c r="N59" s="13"/>
      <c r="O59" s="30"/>
      <c r="P59" s="30"/>
      <c r="Q59" s="30"/>
    </row>
    <row r="60" spans="9:17">
      <c r="I60" s="13"/>
      <c r="J60" s="13"/>
      <c r="K60" s="13"/>
      <c r="L60" s="13"/>
      <c r="M60" s="13"/>
      <c r="N60" s="13"/>
      <c r="O60" s="30"/>
      <c r="P60" s="30"/>
      <c r="Q60" s="30"/>
    </row>
    <row r="61" spans="9:17">
      <c r="I61" s="13"/>
      <c r="J61" s="13"/>
      <c r="K61" s="13"/>
      <c r="L61" s="13"/>
      <c r="M61" s="13"/>
      <c r="N61" s="13"/>
      <c r="O61" s="30"/>
      <c r="P61" s="30"/>
      <c r="Q61" s="30"/>
    </row>
    <row r="62" spans="9:17">
      <c r="I62" s="13"/>
      <c r="J62" s="13"/>
      <c r="K62" s="13"/>
      <c r="L62" s="13"/>
      <c r="M62" s="13"/>
      <c r="N62" s="13"/>
      <c r="O62" s="30"/>
      <c r="P62" s="30"/>
      <c r="Q62" s="30"/>
    </row>
    <row r="63" spans="9:17">
      <c r="I63" s="13"/>
      <c r="J63" s="13"/>
      <c r="K63" s="13"/>
      <c r="L63" s="13"/>
      <c r="M63" s="13"/>
      <c r="N63" s="13"/>
      <c r="O63" s="30"/>
      <c r="P63" s="30"/>
      <c r="Q63" s="30"/>
    </row>
    <row r="64" spans="9:17">
      <c r="I64" s="13"/>
      <c r="J64" s="13"/>
      <c r="K64" s="13"/>
      <c r="L64" s="13"/>
      <c r="M64" s="13"/>
      <c r="N64" s="13"/>
      <c r="O64" s="30"/>
      <c r="P64" s="30"/>
      <c r="Q64" s="30"/>
    </row>
    <row r="65" spans="9:17">
      <c r="I65" s="13"/>
      <c r="J65" s="13"/>
      <c r="K65" s="13"/>
      <c r="L65" s="13"/>
      <c r="M65" s="13"/>
      <c r="N65" s="13"/>
      <c r="O65" s="30"/>
      <c r="P65" s="30"/>
      <c r="Q65" s="30"/>
    </row>
    <row r="66" spans="9:17">
      <c r="I66" s="13"/>
      <c r="J66" s="13"/>
      <c r="K66" s="13"/>
      <c r="L66" s="13"/>
      <c r="M66" s="13"/>
      <c r="N66" s="13"/>
      <c r="O66" s="30"/>
      <c r="P66" s="30"/>
      <c r="Q66" s="30"/>
    </row>
    <row r="67" spans="9:17">
      <c r="I67" s="13"/>
      <c r="J67" s="13"/>
      <c r="K67" s="13"/>
      <c r="L67" s="13"/>
      <c r="M67" s="13"/>
      <c r="N67" s="13"/>
      <c r="O67" s="30"/>
      <c r="P67" s="30"/>
      <c r="Q67" s="30"/>
    </row>
    <row r="68" spans="9:17">
      <c r="I68" s="13"/>
      <c r="J68" s="13"/>
      <c r="K68" s="13"/>
      <c r="L68" s="13"/>
      <c r="M68" s="13"/>
      <c r="N68" s="13"/>
      <c r="O68" s="30"/>
      <c r="P68" s="30"/>
      <c r="Q68" s="30"/>
    </row>
    <row r="69" spans="9:17">
      <c r="I69" s="13"/>
      <c r="J69" s="13"/>
      <c r="K69" s="13"/>
      <c r="L69" s="13"/>
      <c r="M69" s="13"/>
      <c r="N69" s="13"/>
      <c r="O69" s="30"/>
      <c r="P69" s="30"/>
      <c r="Q69" s="30"/>
    </row>
    <row r="70" spans="9:17">
      <c r="I70" s="13"/>
      <c r="J70" s="13"/>
      <c r="K70" s="13"/>
      <c r="L70" s="13"/>
      <c r="M70" s="13"/>
      <c r="N70" s="13"/>
      <c r="O70" s="30"/>
      <c r="P70" s="30"/>
      <c r="Q70" s="30"/>
    </row>
    <row r="71" spans="9:17">
      <c r="I71" s="13"/>
      <c r="J71" s="13"/>
      <c r="K71" s="13"/>
      <c r="L71" s="13"/>
      <c r="M71" s="13"/>
      <c r="N71" s="13"/>
      <c r="O71" s="30"/>
      <c r="P71" s="30"/>
      <c r="Q71" s="30"/>
    </row>
    <row r="72" spans="9:17">
      <c r="I72" s="13"/>
      <c r="J72" s="13"/>
      <c r="K72" s="13"/>
      <c r="L72" s="13"/>
      <c r="M72" s="13"/>
      <c r="N72" s="13"/>
      <c r="O72" s="30"/>
      <c r="P72" s="30"/>
      <c r="Q72" s="30"/>
    </row>
    <row r="73" spans="9:17">
      <c r="I73" s="13"/>
      <c r="J73" s="13"/>
      <c r="K73" s="13"/>
      <c r="L73" s="13"/>
      <c r="M73" s="13"/>
      <c r="N73" s="13"/>
      <c r="O73" s="30"/>
      <c r="P73" s="30"/>
      <c r="Q73" s="30"/>
    </row>
    <row r="74" spans="9:17">
      <c r="I74" s="13"/>
      <c r="J74" s="13"/>
      <c r="K74" s="13"/>
      <c r="L74" s="13"/>
      <c r="M74" s="13"/>
      <c r="N74" s="13"/>
      <c r="O74" s="30"/>
      <c r="P74" s="30"/>
      <c r="Q74" s="30"/>
    </row>
    <row r="75" spans="9:17">
      <c r="I75" s="13"/>
      <c r="J75" s="13"/>
      <c r="K75" s="13"/>
      <c r="L75" s="13"/>
      <c r="M75" s="13"/>
      <c r="N75" s="13"/>
      <c r="O75" s="30"/>
      <c r="P75" s="30"/>
      <c r="Q75" s="30"/>
    </row>
    <row r="76" spans="9:17">
      <c r="I76" s="13"/>
      <c r="J76" s="13"/>
      <c r="K76" s="13"/>
      <c r="L76" s="13"/>
      <c r="M76" s="13"/>
      <c r="N76" s="13"/>
      <c r="O76" s="30"/>
      <c r="P76" s="30"/>
      <c r="Q76" s="30"/>
    </row>
    <row r="77" spans="9:17">
      <c r="I77" s="13"/>
      <c r="J77" s="13"/>
      <c r="K77" s="13"/>
      <c r="L77" s="13"/>
      <c r="M77" s="13"/>
      <c r="N77" s="13"/>
      <c r="O77" s="30"/>
      <c r="P77" s="30"/>
      <c r="Q77" s="30"/>
    </row>
    <row r="78" spans="9:17">
      <c r="I78" s="13"/>
      <c r="J78" s="13"/>
      <c r="K78" s="13"/>
      <c r="L78" s="13"/>
      <c r="M78" s="13"/>
      <c r="N78" s="13"/>
      <c r="O78" s="30"/>
      <c r="P78" s="30"/>
      <c r="Q78" s="30"/>
    </row>
    <row r="79" spans="9:17">
      <c r="I79" s="13"/>
      <c r="J79" s="13"/>
      <c r="K79" s="13"/>
      <c r="L79" s="13"/>
      <c r="M79" s="13"/>
      <c r="N79" s="13"/>
      <c r="O79" s="30"/>
      <c r="P79" s="30"/>
      <c r="Q79" s="30"/>
    </row>
    <row r="80" spans="9:17">
      <c r="I80" s="13"/>
      <c r="J80" s="13"/>
      <c r="K80" s="13"/>
      <c r="L80" s="13"/>
      <c r="M80" s="13"/>
      <c r="N80" s="13"/>
      <c r="O80" s="30"/>
      <c r="P80" s="30"/>
      <c r="Q80" s="30"/>
    </row>
    <row r="81" spans="9:17">
      <c r="I81" s="13"/>
      <c r="J81" s="13"/>
      <c r="K81" s="13"/>
      <c r="L81" s="13"/>
      <c r="M81" s="13"/>
      <c r="N81" s="13"/>
      <c r="O81" s="30"/>
      <c r="P81" s="30"/>
      <c r="Q81" s="30"/>
    </row>
    <row r="82" spans="9:17">
      <c r="I82" s="13"/>
      <c r="J82" s="13"/>
      <c r="K82" s="13"/>
      <c r="L82" s="13"/>
      <c r="M82" s="13"/>
      <c r="N82" s="13"/>
      <c r="O82" s="30"/>
      <c r="P82" s="30"/>
      <c r="Q82" s="30"/>
    </row>
    <row r="83" spans="9:17">
      <c r="I83" s="13"/>
      <c r="J83" s="13"/>
      <c r="K83" s="13"/>
      <c r="L83" s="13"/>
      <c r="M83" s="13"/>
      <c r="N83" s="13"/>
      <c r="O83" s="30"/>
      <c r="P83" s="30"/>
      <c r="Q83" s="30"/>
    </row>
    <row r="84" spans="9:17">
      <c r="I84" s="13"/>
      <c r="J84" s="13"/>
      <c r="K84" s="13"/>
      <c r="L84" s="13"/>
      <c r="M84" s="13"/>
      <c r="N84" s="13"/>
      <c r="O84" s="30"/>
      <c r="P84" s="30"/>
      <c r="Q84" s="30"/>
    </row>
    <row r="85" spans="9:17">
      <c r="I85" s="13"/>
      <c r="J85" s="13"/>
      <c r="K85" s="13"/>
      <c r="L85" s="13"/>
      <c r="M85" s="13"/>
      <c r="N85" s="13"/>
      <c r="O85" s="30"/>
      <c r="P85" s="30"/>
      <c r="Q85" s="30"/>
    </row>
    <row r="86" spans="9:17">
      <c r="I86" s="13"/>
      <c r="J86" s="13"/>
      <c r="K86" s="13"/>
      <c r="L86" s="13"/>
      <c r="M86" s="13"/>
      <c r="N86" s="13"/>
      <c r="O86" s="30"/>
      <c r="P86" s="30"/>
      <c r="Q86" s="30"/>
    </row>
    <row r="87" spans="9:17">
      <c r="I87" s="13"/>
      <c r="J87" s="13"/>
      <c r="K87" s="13"/>
      <c r="L87" s="13"/>
      <c r="M87" s="13"/>
      <c r="N87" s="13"/>
      <c r="O87" s="30"/>
      <c r="P87" s="30"/>
      <c r="Q87" s="30"/>
    </row>
    <row r="88" spans="9:17">
      <c r="I88" s="13"/>
      <c r="J88" s="13"/>
      <c r="K88" s="13"/>
      <c r="L88" s="13"/>
      <c r="M88" s="13"/>
      <c r="N88" s="13"/>
      <c r="O88" s="30"/>
      <c r="P88" s="30"/>
      <c r="Q88" s="30"/>
    </row>
    <row r="89" spans="9:17">
      <c r="I89" s="13"/>
      <c r="J89" s="13"/>
      <c r="K89" s="13"/>
      <c r="L89" s="13"/>
      <c r="M89" s="13"/>
      <c r="N89" s="13"/>
      <c r="O89" s="30"/>
      <c r="P89" s="30"/>
      <c r="Q89" s="30"/>
    </row>
    <row r="90" spans="9:17">
      <c r="I90" s="13"/>
      <c r="J90" s="13"/>
      <c r="K90" s="13"/>
      <c r="L90" s="13"/>
      <c r="M90" s="13"/>
      <c r="N90" s="13"/>
      <c r="O90" s="30"/>
      <c r="P90" s="30"/>
      <c r="Q90" s="30"/>
    </row>
    <row r="91" spans="9:17">
      <c r="I91" s="13"/>
      <c r="J91" s="13"/>
      <c r="K91" s="13"/>
      <c r="L91" s="13"/>
      <c r="M91" s="13"/>
      <c r="N91" s="13"/>
      <c r="O91" s="30"/>
      <c r="P91" s="30"/>
      <c r="Q91" s="30"/>
    </row>
    <row r="92" spans="9:17">
      <c r="I92" s="13"/>
      <c r="J92" s="13"/>
      <c r="K92" s="13"/>
      <c r="L92" s="13"/>
      <c r="M92" s="13"/>
      <c r="N92" s="13"/>
      <c r="O92" s="30"/>
      <c r="P92" s="30"/>
      <c r="Q92" s="30"/>
    </row>
    <row r="93" spans="9:17">
      <c r="I93" s="13"/>
      <c r="J93" s="13"/>
      <c r="K93" s="13"/>
      <c r="L93" s="13"/>
      <c r="M93" s="13"/>
      <c r="N93" s="13"/>
      <c r="O93" s="30"/>
      <c r="P93" s="30"/>
      <c r="Q93" s="30"/>
    </row>
    <row r="94" spans="9:17">
      <c r="I94" s="13"/>
      <c r="J94" s="13"/>
      <c r="K94" s="13"/>
      <c r="L94" s="13"/>
      <c r="M94" s="13"/>
      <c r="N94" s="13"/>
      <c r="O94" s="30"/>
      <c r="P94" s="30"/>
      <c r="Q94" s="30"/>
    </row>
    <row r="95" spans="9:17">
      <c r="I95" s="13"/>
      <c r="J95" s="13"/>
      <c r="K95" s="13"/>
      <c r="L95" s="13"/>
      <c r="M95" s="13"/>
      <c r="N95" s="13"/>
      <c r="O95" s="30"/>
      <c r="P95" s="30"/>
      <c r="Q95" s="30"/>
    </row>
    <row r="96" spans="9:17">
      <c r="I96" s="13"/>
      <c r="J96" s="13"/>
      <c r="K96" s="13"/>
      <c r="L96" s="13"/>
      <c r="M96" s="13"/>
      <c r="N96" s="13"/>
      <c r="O96" s="30"/>
      <c r="P96" s="30"/>
      <c r="Q96" s="30"/>
    </row>
    <row r="97" spans="9:17">
      <c r="I97" s="13"/>
      <c r="J97" s="13"/>
      <c r="K97" s="13"/>
      <c r="L97" s="13"/>
      <c r="M97" s="13"/>
      <c r="N97" s="13"/>
      <c r="O97" s="30"/>
      <c r="P97" s="30"/>
      <c r="Q97" s="30"/>
    </row>
    <row r="98" spans="9:17">
      <c r="I98" s="13"/>
      <c r="J98" s="13"/>
      <c r="K98" s="13"/>
      <c r="L98" s="13"/>
      <c r="M98" s="13"/>
      <c r="N98" s="13"/>
      <c r="O98" s="30"/>
      <c r="P98" s="30"/>
      <c r="Q98" s="30"/>
    </row>
    <row r="99" spans="9:17">
      <c r="I99" s="13"/>
      <c r="J99" s="13"/>
      <c r="K99" s="13"/>
      <c r="L99" s="13"/>
      <c r="M99" s="13"/>
      <c r="N99" s="13"/>
      <c r="O99" s="30"/>
      <c r="P99" s="30"/>
      <c r="Q99" s="30"/>
    </row>
    <row r="100" spans="9:17">
      <c r="I100" s="13"/>
      <c r="J100" s="13"/>
      <c r="K100" s="13"/>
      <c r="L100" s="13"/>
      <c r="M100" s="13"/>
      <c r="N100" s="13"/>
      <c r="O100" s="30"/>
      <c r="P100" s="30"/>
      <c r="Q100" s="30"/>
    </row>
    <row r="101" spans="9:17">
      <c r="I101" s="13"/>
      <c r="J101" s="13"/>
      <c r="K101" s="13"/>
      <c r="L101" s="13"/>
      <c r="M101" s="13"/>
      <c r="N101" s="13"/>
      <c r="O101" s="30"/>
      <c r="P101" s="30"/>
      <c r="Q101" s="30"/>
    </row>
    <row r="102" spans="9:17">
      <c r="I102" s="13"/>
      <c r="J102" s="13"/>
      <c r="K102" s="13"/>
      <c r="L102" s="13"/>
      <c r="M102" s="13"/>
      <c r="N102" s="13"/>
      <c r="O102" s="30"/>
      <c r="P102" s="30"/>
      <c r="Q102" s="30"/>
    </row>
    <row r="103" spans="9:17">
      <c r="I103" s="13"/>
      <c r="J103" s="13"/>
      <c r="K103" s="13"/>
      <c r="L103" s="13"/>
      <c r="M103" s="13"/>
      <c r="N103" s="13"/>
      <c r="O103" s="30"/>
      <c r="P103" s="30"/>
      <c r="Q103" s="30"/>
    </row>
    <row r="104" spans="9:17">
      <c r="I104" s="13"/>
      <c r="J104" s="13"/>
      <c r="K104" s="13"/>
      <c r="L104" s="13"/>
      <c r="M104" s="13"/>
      <c r="N104" s="13"/>
      <c r="O104" s="30"/>
      <c r="P104" s="30"/>
      <c r="Q104" s="30"/>
    </row>
    <row r="105" spans="9:17">
      <c r="I105" s="13"/>
      <c r="J105" s="13"/>
      <c r="K105" s="13"/>
      <c r="L105" s="13"/>
      <c r="M105" s="13"/>
      <c r="N105" s="13"/>
      <c r="O105" s="30"/>
      <c r="P105" s="30"/>
      <c r="Q105" s="30"/>
    </row>
    <row r="106" spans="9:17">
      <c r="I106" s="13"/>
      <c r="J106" s="13"/>
      <c r="K106" s="13"/>
      <c r="L106" s="13"/>
      <c r="M106" s="13"/>
      <c r="N106" s="13"/>
      <c r="O106" s="30"/>
      <c r="P106" s="30"/>
      <c r="Q106" s="30"/>
    </row>
    <row r="107" spans="9:17">
      <c r="I107" s="13"/>
      <c r="J107" s="13"/>
      <c r="K107" s="13"/>
      <c r="L107" s="13"/>
      <c r="M107" s="13"/>
      <c r="N107" s="13"/>
      <c r="O107" s="30"/>
      <c r="P107" s="30"/>
      <c r="Q107" s="30"/>
    </row>
    <row r="108" spans="9:17">
      <c r="I108" s="13"/>
      <c r="J108" s="13"/>
      <c r="K108" s="13"/>
      <c r="L108" s="13"/>
      <c r="M108" s="13"/>
      <c r="N108" s="13"/>
      <c r="O108" s="30"/>
      <c r="P108" s="30"/>
      <c r="Q108" s="30"/>
    </row>
    <row r="109" spans="9:17">
      <c r="I109" s="13"/>
      <c r="J109" s="13"/>
      <c r="K109" s="13"/>
      <c r="L109" s="13"/>
      <c r="M109" s="13"/>
      <c r="N109" s="13"/>
      <c r="O109" s="30"/>
      <c r="P109" s="30"/>
      <c r="Q109" s="30"/>
    </row>
    <row r="110" spans="9:17">
      <c r="I110" s="13"/>
      <c r="J110" s="13"/>
      <c r="K110" s="13"/>
      <c r="L110" s="13"/>
      <c r="M110" s="13"/>
      <c r="N110" s="13"/>
      <c r="O110" s="30"/>
      <c r="P110" s="30"/>
      <c r="Q110" s="30"/>
    </row>
    <row r="111" spans="9:17">
      <c r="I111" s="13"/>
      <c r="J111" s="13"/>
      <c r="K111" s="13"/>
      <c r="L111" s="13"/>
      <c r="M111" s="13"/>
      <c r="N111" s="13"/>
      <c r="O111" s="30"/>
      <c r="P111" s="30"/>
      <c r="Q111" s="30"/>
    </row>
    <row r="112" spans="9:17">
      <c r="I112" s="13"/>
      <c r="J112" s="13"/>
      <c r="K112" s="13"/>
      <c r="L112" s="13"/>
      <c r="M112" s="13"/>
      <c r="N112" s="13"/>
      <c r="O112" s="30"/>
      <c r="P112" s="30"/>
      <c r="Q112" s="30"/>
    </row>
    <row r="113" spans="9:17">
      <c r="I113" s="13"/>
      <c r="J113" s="13"/>
      <c r="K113" s="13"/>
      <c r="L113" s="13"/>
      <c r="M113" s="13"/>
      <c r="N113" s="13"/>
      <c r="O113" s="30"/>
      <c r="P113" s="30"/>
      <c r="Q113" s="30"/>
    </row>
    <row r="114" spans="9:17">
      <c r="I114" s="13"/>
      <c r="J114" s="13"/>
      <c r="K114" s="13"/>
      <c r="L114" s="13"/>
      <c r="M114" s="13"/>
      <c r="N114" s="13"/>
      <c r="O114" s="30"/>
      <c r="P114" s="30"/>
      <c r="Q114" s="30"/>
    </row>
    <row r="115" spans="9:17">
      <c r="I115" s="13"/>
      <c r="J115" s="13"/>
      <c r="K115" s="13"/>
      <c r="L115" s="13"/>
      <c r="M115" s="13"/>
      <c r="N115" s="13"/>
      <c r="O115" s="30"/>
      <c r="P115" s="30"/>
      <c r="Q115" s="30"/>
    </row>
    <row r="116" spans="9:17">
      <c r="I116" s="13"/>
      <c r="J116" s="13"/>
      <c r="K116" s="13"/>
      <c r="L116" s="13"/>
      <c r="M116" s="13"/>
      <c r="N116" s="13"/>
      <c r="O116" s="30"/>
      <c r="P116" s="30"/>
      <c r="Q116" s="30"/>
    </row>
    <row r="117" spans="9:17">
      <c r="I117" s="13"/>
      <c r="J117" s="13"/>
      <c r="K117" s="13"/>
      <c r="L117" s="13"/>
      <c r="M117" s="13"/>
      <c r="N117" s="13"/>
      <c r="O117" s="30"/>
      <c r="P117" s="30"/>
      <c r="Q117" s="30"/>
    </row>
    <row r="118" spans="9:17">
      <c r="I118" s="13"/>
      <c r="J118" s="13"/>
      <c r="K118" s="13"/>
      <c r="L118" s="13"/>
      <c r="M118" s="13"/>
      <c r="N118" s="13"/>
      <c r="O118" s="30"/>
      <c r="P118" s="30"/>
      <c r="Q118" s="30"/>
    </row>
    <row r="119" spans="9:17">
      <c r="I119" s="13"/>
      <c r="J119" s="13"/>
      <c r="K119" s="13"/>
      <c r="L119" s="13"/>
      <c r="M119" s="13"/>
      <c r="N119" s="13"/>
      <c r="O119" s="30"/>
      <c r="P119" s="30"/>
      <c r="Q119" s="30"/>
    </row>
    <row r="120" spans="9:17">
      <c r="I120" s="13"/>
      <c r="J120" s="13"/>
      <c r="K120" s="13"/>
      <c r="L120" s="13"/>
      <c r="M120" s="13"/>
      <c r="N120" s="13"/>
      <c r="O120" s="30"/>
      <c r="P120" s="30"/>
      <c r="Q120" s="30"/>
    </row>
    <row r="121" spans="9:17">
      <c r="I121" s="13"/>
      <c r="J121" s="13"/>
      <c r="K121" s="13"/>
      <c r="L121" s="13"/>
      <c r="M121" s="13"/>
      <c r="N121" s="13"/>
      <c r="O121" s="30"/>
      <c r="P121" s="30"/>
      <c r="Q121" s="30"/>
    </row>
    <row r="122" spans="9:17">
      <c r="I122" s="13"/>
      <c r="J122" s="13"/>
      <c r="K122" s="13"/>
      <c r="L122" s="13"/>
      <c r="M122" s="13"/>
      <c r="N122" s="13"/>
      <c r="O122" s="30"/>
      <c r="P122" s="30"/>
      <c r="Q122" s="30"/>
    </row>
    <row r="123" spans="9:17">
      <c r="I123" s="13"/>
      <c r="J123" s="13"/>
      <c r="K123" s="13"/>
      <c r="L123" s="13"/>
      <c r="M123" s="13"/>
      <c r="N123" s="13"/>
      <c r="O123" s="30"/>
      <c r="P123" s="30"/>
      <c r="Q123" s="30"/>
    </row>
    <row r="124" spans="9:17">
      <c r="I124" s="13"/>
      <c r="J124" s="13"/>
      <c r="K124" s="13"/>
      <c r="L124" s="13"/>
      <c r="M124" s="13"/>
      <c r="N124" s="13"/>
      <c r="O124" s="30"/>
      <c r="P124" s="30"/>
      <c r="Q124" s="30"/>
    </row>
    <row r="125" spans="9:17">
      <c r="I125" s="13"/>
      <c r="J125" s="13"/>
      <c r="K125" s="13"/>
      <c r="L125" s="13"/>
      <c r="M125" s="13"/>
      <c r="N125" s="13"/>
      <c r="O125" s="30"/>
      <c r="P125" s="30"/>
      <c r="Q125" s="30"/>
    </row>
    <row r="126" spans="9:17">
      <c r="I126" s="13"/>
      <c r="J126" s="13"/>
      <c r="K126" s="13"/>
      <c r="L126" s="13"/>
      <c r="M126" s="13"/>
      <c r="N126" s="13"/>
      <c r="O126" s="30"/>
      <c r="P126" s="30"/>
      <c r="Q126" s="30"/>
    </row>
    <row r="127" spans="9:17">
      <c r="I127" s="13"/>
      <c r="J127" s="13"/>
      <c r="K127" s="13"/>
      <c r="L127" s="13"/>
      <c r="M127" s="13"/>
      <c r="N127" s="13"/>
      <c r="O127" s="30"/>
      <c r="P127" s="30"/>
      <c r="Q127" s="30"/>
    </row>
    <row r="128" spans="9:17">
      <c r="I128" s="13"/>
      <c r="J128" s="13"/>
      <c r="K128" s="13"/>
      <c r="L128" s="13"/>
      <c r="M128" s="13"/>
      <c r="N128" s="13"/>
      <c r="O128" s="30"/>
      <c r="P128" s="30"/>
      <c r="Q128" s="30"/>
    </row>
    <row r="129" spans="9:17">
      <c r="I129" s="13"/>
      <c r="J129" s="13"/>
      <c r="K129" s="13"/>
      <c r="L129" s="13"/>
      <c r="M129" s="13"/>
      <c r="N129" s="13"/>
      <c r="O129" s="30"/>
      <c r="P129" s="30"/>
      <c r="Q129" s="30"/>
    </row>
    <row r="130" spans="9:17">
      <c r="I130" s="13"/>
      <c r="J130" s="13"/>
      <c r="K130" s="13"/>
      <c r="L130" s="13"/>
      <c r="M130" s="13"/>
      <c r="N130" s="13"/>
      <c r="O130" s="30"/>
      <c r="P130" s="30"/>
      <c r="Q130" s="30"/>
    </row>
    <row r="131" spans="9:17">
      <c r="I131" s="13"/>
      <c r="J131" s="13"/>
      <c r="K131" s="13"/>
      <c r="L131" s="13"/>
      <c r="M131" s="13"/>
      <c r="N131" s="13"/>
      <c r="O131" s="30"/>
      <c r="P131" s="30"/>
      <c r="Q131" s="30"/>
    </row>
    <row r="132" spans="9:17">
      <c r="I132" s="13"/>
      <c r="J132" s="13"/>
      <c r="K132" s="13"/>
      <c r="L132" s="13"/>
      <c r="M132" s="13"/>
      <c r="N132" s="13"/>
      <c r="O132" s="30"/>
      <c r="P132" s="30"/>
      <c r="Q132" s="30"/>
    </row>
    <row r="133" spans="9:17">
      <c r="I133" s="13"/>
      <c r="J133" s="13"/>
      <c r="K133" s="13"/>
      <c r="L133" s="13"/>
      <c r="M133" s="13"/>
      <c r="N133" s="13"/>
      <c r="O133" s="30"/>
      <c r="P133" s="30"/>
      <c r="Q133" s="30"/>
    </row>
    <row r="134" spans="9:17">
      <c r="I134" s="13"/>
      <c r="J134" s="13"/>
      <c r="K134" s="13"/>
      <c r="L134" s="13"/>
      <c r="M134" s="13"/>
      <c r="N134" s="13"/>
      <c r="O134" s="30"/>
      <c r="P134" s="30"/>
      <c r="Q134" s="30"/>
    </row>
    <row r="135" spans="9:17">
      <c r="I135" s="13"/>
      <c r="J135" s="13"/>
      <c r="K135" s="13"/>
      <c r="L135" s="13"/>
      <c r="M135" s="13"/>
      <c r="N135" s="13"/>
      <c r="O135" s="30"/>
      <c r="P135" s="30"/>
      <c r="Q135" s="30"/>
    </row>
    <row r="136" spans="9:17">
      <c r="I136" s="13"/>
      <c r="J136" s="13"/>
      <c r="K136" s="13"/>
      <c r="L136" s="13"/>
      <c r="M136" s="13"/>
      <c r="N136" s="13"/>
      <c r="O136" s="30"/>
      <c r="P136" s="30"/>
      <c r="Q136" s="30"/>
    </row>
    <row r="137" spans="9:17">
      <c r="I137" s="13"/>
      <c r="J137" s="13"/>
      <c r="K137" s="13"/>
      <c r="L137" s="13"/>
      <c r="M137" s="13"/>
      <c r="N137" s="13"/>
      <c r="O137" s="30"/>
      <c r="P137" s="30"/>
      <c r="Q137" s="30"/>
    </row>
    <row r="138" spans="9:17">
      <c r="I138" s="13"/>
      <c r="J138" s="13"/>
      <c r="K138" s="13"/>
      <c r="L138" s="13"/>
      <c r="M138" s="13"/>
      <c r="N138" s="13"/>
      <c r="O138" s="30"/>
      <c r="P138" s="30"/>
      <c r="Q138" s="30"/>
    </row>
    <row r="139" spans="9:17">
      <c r="I139" s="13"/>
      <c r="J139" s="13"/>
      <c r="K139" s="13"/>
      <c r="L139" s="13"/>
      <c r="M139" s="13"/>
      <c r="N139" s="13"/>
      <c r="O139" s="30"/>
      <c r="P139" s="30"/>
      <c r="Q139" s="30"/>
    </row>
    <row r="140" spans="9:17">
      <c r="I140" s="13"/>
      <c r="J140" s="13"/>
      <c r="K140" s="13"/>
      <c r="L140" s="13"/>
      <c r="M140" s="13"/>
      <c r="N140" s="13"/>
      <c r="O140" s="30"/>
      <c r="P140" s="30"/>
      <c r="Q140" s="30"/>
    </row>
    <row r="141" spans="9:17">
      <c r="I141" s="13"/>
      <c r="J141" s="13"/>
      <c r="K141" s="13"/>
      <c r="L141" s="13"/>
      <c r="M141" s="13"/>
      <c r="N141" s="13"/>
      <c r="O141" s="30"/>
      <c r="P141" s="30"/>
      <c r="Q141" s="30"/>
    </row>
    <row r="142" spans="9:17">
      <c r="I142" s="13"/>
      <c r="J142" s="13"/>
      <c r="K142" s="13"/>
      <c r="L142" s="13"/>
      <c r="M142" s="13"/>
      <c r="N142" s="13"/>
      <c r="O142" s="30"/>
      <c r="P142" s="30"/>
      <c r="Q142" s="30"/>
    </row>
    <row r="143" spans="9:17">
      <c r="I143" s="13"/>
      <c r="J143" s="13"/>
      <c r="K143" s="13"/>
      <c r="L143" s="13"/>
      <c r="M143" s="13"/>
      <c r="N143" s="13"/>
      <c r="O143" s="30"/>
      <c r="P143" s="30"/>
      <c r="Q143" s="30"/>
    </row>
    <row r="144" spans="9:17">
      <c r="I144" s="13"/>
      <c r="J144" s="13"/>
      <c r="K144" s="13"/>
      <c r="L144" s="13"/>
      <c r="M144" s="13"/>
      <c r="N144" s="13"/>
      <c r="O144" s="30"/>
      <c r="P144" s="30"/>
      <c r="Q144" s="30"/>
    </row>
    <row r="145" spans="9:17">
      <c r="I145" s="13"/>
      <c r="J145" s="13"/>
      <c r="K145" s="13"/>
      <c r="L145" s="13"/>
      <c r="M145" s="13"/>
      <c r="N145" s="13"/>
      <c r="O145" s="30"/>
      <c r="P145" s="30"/>
      <c r="Q145" s="30"/>
    </row>
    <row r="146" spans="9:17">
      <c r="I146" s="13"/>
      <c r="J146" s="13"/>
      <c r="K146" s="13"/>
      <c r="L146" s="13"/>
      <c r="M146" s="13"/>
      <c r="N146" s="13"/>
      <c r="O146" s="30"/>
      <c r="P146" s="30"/>
      <c r="Q146" s="30"/>
    </row>
    <row r="147" spans="9:17">
      <c r="I147" s="13"/>
      <c r="J147" s="13"/>
      <c r="K147" s="13"/>
      <c r="L147" s="13"/>
      <c r="M147" s="13"/>
      <c r="N147" s="13"/>
      <c r="O147" s="30"/>
      <c r="P147" s="30"/>
      <c r="Q147" s="30"/>
    </row>
    <row r="148" spans="9:17">
      <c r="I148" s="13"/>
      <c r="J148" s="13"/>
      <c r="K148" s="13"/>
      <c r="L148" s="13"/>
      <c r="M148" s="13"/>
      <c r="N148" s="13"/>
      <c r="O148" s="30"/>
      <c r="P148" s="30"/>
      <c r="Q148" s="30"/>
    </row>
    <row r="149" spans="9:17">
      <c r="I149" s="13"/>
      <c r="J149" s="13"/>
      <c r="K149" s="13"/>
      <c r="L149" s="13"/>
      <c r="M149" s="13"/>
      <c r="N149" s="13"/>
      <c r="O149" s="30"/>
      <c r="P149" s="30"/>
      <c r="Q149" s="30"/>
    </row>
    <row r="150" spans="9:17">
      <c r="I150" s="13"/>
      <c r="J150" s="13"/>
      <c r="K150" s="13"/>
      <c r="L150" s="13"/>
      <c r="M150" s="13"/>
      <c r="N150" s="13"/>
      <c r="O150" s="30"/>
      <c r="P150" s="30"/>
      <c r="Q150" s="30"/>
    </row>
    <row r="151" spans="9:17">
      <c r="I151" s="13"/>
      <c r="J151" s="13"/>
      <c r="K151" s="13"/>
      <c r="L151" s="13"/>
      <c r="M151" s="13"/>
      <c r="N151" s="13"/>
      <c r="O151" s="30"/>
      <c r="P151" s="30"/>
      <c r="Q151" s="30"/>
    </row>
    <row r="152" spans="9:17">
      <c r="I152" s="13"/>
      <c r="J152" s="13"/>
      <c r="K152" s="13"/>
      <c r="L152" s="13"/>
      <c r="M152" s="13"/>
      <c r="N152" s="13"/>
      <c r="O152" s="30"/>
      <c r="P152" s="30"/>
      <c r="Q152" s="30"/>
    </row>
    <row r="153" spans="9:17">
      <c r="I153" s="13"/>
      <c r="J153" s="13"/>
      <c r="K153" s="13"/>
      <c r="L153" s="13"/>
      <c r="M153" s="13"/>
      <c r="N153" s="13"/>
      <c r="O153" s="30"/>
      <c r="P153" s="30"/>
      <c r="Q153" s="30"/>
    </row>
    <row r="154" spans="9:17">
      <c r="I154" s="13"/>
      <c r="J154" s="13"/>
      <c r="K154" s="13"/>
      <c r="L154" s="13"/>
      <c r="M154" s="13"/>
      <c r="N154" s="13"/>
      <c r="O154" s="30"/>
      <c r="P154" s="30"/>
      <c r="Q154" s="30"/>
    </row>
    <row r="155" spans="9:17">
      <c r="I155" s="13"/>
      <c r="J155" s="13"/>
      <c r="K155" s="13"/>
      <c r="L155" s="13"/>
      <c r="M155" s="13"/>
      <c r="N155" s="13"/>
      <c r="O155" s="30"/>
      <c r="P155" s="30"/>
      <c r="Q155" s="30"/>
    </row>
    <row r="156" spans="9:17">
      <c r="I156" s="13"/>
      <c r="J156" s="13"/>
      <c r="K156" s="13"/>
      <c r="L156" s="13"/>
      <c r="M156" s="13"/>
      <c r="N156" s="13"/>
      <c r="O156" s="30"/>
      <c r="P156" s="30"/>
      <c r="Q156" s="30"/>
    </row>
    <row r="157" spans="9:17">
      <c r="I157" s="13"/>
      <c r="J157" s="13"/>
      <c r="K157" s="13"/>
      <c r="L157" s="13"/>
      <c r="M157" s="13"/>
      <c r="N157" s="13"/>
      <c r="O157" s="30"/>
      <c r="P157" s="30"/>
      <c r="Q157" s="30"/>
    </row>
    <row r="158" spans="9:17">
      <c r="I158" s="13"/>
      <c r="J158" s="13"/>
      <c r="K158" s="13"/>
      <c r="L158" s="13"/>
      <c r="M158" s="13"/>
      <c r="N158" s="13"/>
      <c r="O158" s="30"/>
      <c r="P158" s="30"/>
      <c r="Q158" s="30"/>
    </row>
    <row r="159" spans="9:17">
      <c r="I159" s="13"/>
      <c r="J159" s="13"/>
      <c r="K159" s="13"/>
      <c r="L159" s="13"/>
      <c r="M159" s="13"/>
      <c r="N159" s="13"/>
      <c r="O159" s="30"/>
      <c r="P159" s="30"/>
      <c r="Q159" s="30"/>
    </row>
    <row r="160" spans="9:17">
      <c r="I160" s="13"/>
      <c r="J160" s="13"/>
      <c r="K160" s="13"/>
      <c r="L160" s="13"/>
      <c r="M160" s="13"/>
      <c r="N160" s="13"/>
      <c r="O160" s="30"/>
      <c r="P160" s="30"/>
      <c r="Q160" s="30"/>
    </row>
    <row r="161" spans="9:17">
      <c r="I161" s="13"/>
      <c r="J161" s="13"/>
      <c r="K161" s="13"/>
      <c r="L161" s="13"/>
      <c r="M161" s="13"/>
      <c r="N161" s="13"/>
      <c r="O161" s="30"/>
      <c r="P161" s="30"/>
      <c r="Q161" s="30"/>
    </row>
    <row r="162" spans="9:17">
      <c r="I162" s="13"/>
      <c r="J162" s="13"/>
      <c r="K162" s="13"/>
      <c r="L162" s="13"/>
      <c r="M162" s="13"/>
      <c r="N162" s="13"/>
      <c r="O162" s="30"/>
      <c r="P162" s="30"/>
      <c r="Q162" s="30"/>
    </row>
    <row r="163" spans="9:17">
      <c r="I163" s="13"/>
      <c r="J163" s="13"/>
      <c r="K163" s="13"/>
      <c r="L163" s="13"/>
      <c r="M163" s="13"/>
      <c r="N163" s="13"/>
      <c r="O163" s="30"/>
      <c r="P163" s="30"/>
      <c r="Q163" s="30"/>
    </row>
    <row r="164" spans="9:17">
      <c r="I164" s="13"/>
      <c r="J164" s="13"/>
      <c r="K164" s="13"/>
      <c r="L164" s="13"/>
      <c r="M164" s="13"/>
      <c r="N164" s="13"/>
      <c r="O164" s="30"/>
      <c r="P164" s="30"/>
      <c r="Q164" s="30"/>
    </row>
    <row r="165" spans="9:17">
      <c r="I165" s="13"/>
      <c r="J165" s="13"/>
      <c r="K165" s="13"/>
      <c r="L165" s="13"/>
      <c r="M165" s="13"/>
      <c r="N165" s="13"/>
      <c r="O165" s="30"/>
      <c r="P165" s="30"/>
      <c r="Q165" s="30"/>
    </row>
    <row r="166" spans="9:17">
      <c r="I166" s="13"/>
      <c r="J166" s="13"/>
      <c r="K166" s="13"/>
      <c r="L166" s="13"/>
      <c r="M166" s="13"/>
      <c r="N166" s="13"/>
      <c r="O166" s="30"/>
      <c r="P166" s="30"/>
      <c r="Q166" s="30"/>
    </row>
    <row r="167" spans="9:17">
      <c r="I167" s="13"/>
      <c r="J167" s="13"/>
      <c r="K167" s="13"/>
      <c r="L167" s="13"/>
      <c r="M167" s="13"/>
      <c r="N167" s="13"/>
      <c r="O167" s="30"/>
      <c r="P167" s="30"/>
      <c r="Q167" s="30"/>
    </row>
    <row r="168" spans="9:17">
      <c r="I168" s="13"/>
      <c r="J168" s="13"/>
      <c r="K168" s="13"/>
      <c r="L168" s="13"/>
      <c r="M168" s="13"/>
      <c r="N168" s="13"/>
      <c r="O168" s="30"/>
      <c r="P168" s="30"/>
      <c r="Q168" s="30"/>
    </row>
    <row r="169" spans="9:17">
      <c r="I169" s="13"/>
      <c r="J169" s="13"/>
      <c r="K169" s="13"/>
      <c r="L169" s="13"/>
      <c r="M169" s="13"/>
      <c r="N169" s="13"/>
      <c r="O169" s="30"/>
      <c r="P169" s="30"/>
      <c r="Q169" s="30"/>
    </row>
    <row r="170" spans="9:17">
      <c r="I170" s="13"/>
      <c r="J170" s="13"/>
      <c r="K170" s="13"/>
      <c r="L170" s="13"/>
      <c r="M170" s="13"/>
      <c r="N170" s="13"/>
      <c r="O170" s="30"/>
      <c r="P170" s="30"/>
      <c r="Q170" s="30"/>
    </row>
    <row r="171" spans="9:17">
      <c r="I171" s="13"/>
      <c r="J171" s="13"/>
      <c r="K171" s="13"/>
      <c r="L171" s="13"/>
      <c r="M171" s="13"/>
      <c r="N171" s="13"/>
      <c r="O171" s="30"/>
      <c r="P171" s="30"/>
      <c r="Q171" s="30"/>
    </row>
    <row r="172" spans="9:17">
      <c r="I172" s="13"/>
      <c r="J172" s="13"/>
      <c r="K172" s="13"/>
      <c r="L172" s="13"/>
      <c r="M172" s="13"/>
      <c r="N172" s="13"/>
      <c r="O172" s="30"/>
      <c r="P172" s="30"/>
      <c r="Q172" s="30"/>
    </row>
    <row r="173" spans="9:17">
      <c r="I173" s="13"/>
      <c r="J173" s="13"/>
      <c r="K173" s="13"/>
      <c r="L173" s="13"/>
      <c r="M173" s="13"/>
      <c r="N173" s="13"/>
      <c r="O173" s="30"/>
      <c r="P173" s="30"/>
      <c r="Q173" s="30"/>
    </row>
    <row r="174" spans="9:17">
      <c r="I174" s="13"/>
      <c r="J174" s="13"/>
      <c r="K174" s="13"/>
      <c r="L174" s="13"/>
      <c r="M174" s="13"/>
      <c r="N174" s="13"/>
      <c r="O174" s="30"/>
      <c r="P174" s="30"/>
      <c r="Q174" s="30"/>
    </row>
    <row r="175" spans="9:17">
      <c r="I175" s="13"/>
      <c r="J175" s="13"/>
      <c r="K175" s="13"/>
      <c r="L175" s="13"/>
      <c r="M175" s="13"/>
      <c r="N175" s="13"/>
      <c r="O175" s="30"/>
      <c r="P175" s="30"/>
      <c r="Q175" s="30"/>
    </row>
    <row r="176" spans="9:17">
      <c r="I176" s="13"/>
      <c r="J176" s="13"/>
      <c r="K176" s="13"/>
      <c r="L176" s="13"/>
      <c r="M176" s="13"/>
      <c r="N176" s="13"/>
      <c r="O176" s="30"/>
      <c r="P176" s="30"/>
      <c r="Q176" s="30"/>
    </row>
    <row r="177" spans="9:17">
      <c r="I177" s="13"/>
      <c r="J177" s="13"/>
      <c r="K177" s="13"/>
      <c r="L177" s="13"/>
      <c r="M177" s="13"/>
      <c r="N177" s="13"/>
      <c r="O177" s="30"/>
      <c r="P177" s="30"/>
      <c r="Q177" s="30"/>
    </row>
    <row r="178" spans="9:17">
      <c r="I178" s="13"/>
      <c r="J178" s="13"/>
      <c r="K178" s="13"/>
      <c r="L178" s="13"/>
      <c r="M178" s="13"/>
      <c r="N178" s="13"/>
      <c r="O178" s="30"/>
      <c r="P178" s="30"/>
      <c r="Q178" s="30"/>
    </row>
    <row r="179" spans="9:17">
      <c r="I179" s="13"/>
      <c r="J179" s="13"/>
      <c r="K179" s="13"/>
      <c r="L179" s="13"/>
      <c r="M179" s="13"/>
      <c r="N179" s="13"/>
      <c r="O179" s="30"/>
      <c r="P179" s="30"/>
      <c r="Q179" s="30"/>
    </row>
    <row r="180" spans="9:17">
      <c r="I180" s="13"/>
      <c r="J180" s="13"/>
      <c r="K180" s="13"/>
      <c r="L180" s="13"/>
      <c r="M180" s="13"/>
      <c r="N180" s="13"/>
      <c r="O180" s="30"/>
      <c r="P180" s="30"/>
      <c r="Q180" s="30"/>
    </row>
    <row r="181" spans="9:17">
      <c r="I181" s="13"/>
      <c r="J181" s="13"/>
      <c r="K181" s="13"/>
      <c r="L181" s="13"/>
      <c r="M181" s="13"/>
      <c r="N181" s="13"/>
      <c r="O181" s="30"/>
      <c r="P181" s="30"/>
      <c r="Q181" s="30"/>
    </row>
    <row r="182" spans="9:17">
      <c r="I182" s="13"/>
      <c r="J182" s="13"/>
      <c r="K182" s="13"/>
      <c r="L182" s="13"/>
      <c r="M182" s="13"/>
      <c r="N182" s="13"/>
      <c r="O182" s="30"/>
      <c r="P182" s="30"/>
      <c r="Q182" s="30"/>
    </row>
    <row r="183" spans="9:17">
      <c r="I183" s="13"/>
      <c r="J183" s="13"/>
      <c r="K183" s="13"/>
      <c r="L183" s="13"/>
      <c r="M183" s="13"/>
      <c r="N183" s="13"/>
      <c r="O183" s="30"/>
      <c r="P183" s="30"/>
      <c r="Q183" s="30"/>
    </row>
    <row r="184" spans="9:17">
      <c r="I184" s="13"/>
      <c r="J184" s="13"/>
      <c r="K184" s="13"/>
      <c r="L184" s="13"/>
      <c r="M184" s="13"/>
      <c r="N184" s="13"/>
      <c r="O184" s="30"/>
      <c r="P184" s="30"/>
      <c r="Q184" s="30"/>
    </row>
    <row r="185" spans="9:17">
      <c r="I185" s="13"/>
      <c r="J185" s="13"/>
      <c r="K185" s="13"/>
      <c r="L185" s="13"/>
      <c r="M185" s="13"/>
      <c r="N185" s="13"/>
      <c r="O185" s="30"/>
      <c r="P185" s="30"/>
      <c r="Q185" s="30"/>
    </row>
    <row r="186" spans="9:17">
      <c r="I186" s="13"/>
      <c r="J186" s="13"/>
      <c r="K186" s="13"/>
      <c r="L186" s="13"/>
      <c r="M186" s="13"/>
      <c r="N186" s="13"/>
      <c r="O186" s="30"/>
      <c r="P186" s="30"/>
      <c r="Q186" s="30"/>
    </row>
    <row r="187" spans="9:17">
      <c r="I187" s="13"/>
      <c r="J187" s="13"/>
      <c r="K187" s="13"/>
      <c r="L187" s="13"/>
      <c r="M187" s="13"/>
      <c r="N187" s="13"/>
      <c r="O187" s="30"/>
      <c r="P187" s="30"/>
      <c r="Q187" s="30"/>
    </row>
    <row r="188" spans="9:17">
      <c r="I188" s="13"/>
      <c r="J188" s="13"/>
      <c r="K188" s="13"/>
      <c r="L188" s="13"/>
      <c r="M188" s="13"/>
      <c r="N188" s="13"/>
      <c r="O188" s="30"/>
      <c r="P188" s="30"/>
      <c r="Q188" s="30"/>
    </row>
    <row r="189" spans="9:17">
      <c r="I189" s="13"/>
      <c r="J189" s="13"/>
      <c r="K189" s="13"/>
      <c r="L189" s="13"/>
      <c r="M189" s="13"/>
      <c r="N189" s="13"/>
      <c r="O189" s="30"/>
      <c r="P189" s="30"/>
      <c r="Q189" s="30"/>
    </row>
    <row r="190" spans="9:17">
      <c r="I190" s="13"/>
      <c r="J190" s="13"/>
      <c r="K190" s="13"/>
      <c r="L190" s="13"/>
      <c r="M190" s="13"/>
      <c r="N190" s="13"/>
      <c r="O190" s="30"/>
      <c r="P190" s="30"/>
      <c r="Q190" s="30"/>
    </row>
    <row r="191" spans="9:17">
      <c r="I191" s="13"/>
      <c r="J191" s="13"/>
      <c r="K191" s="13"/>
      <c r="L191" s="13"/>
      <c r="M191" s="13"/>
      <c r="N191" s="13"/>
      <c r="O191" s="30"/>
      <c r="P191" s="30"/>
      <c r="Q191" s="30"/>
    </row>
    <row r="192" spans="9:17">
      <c r="I192" s="13"/>
      <c r="J192" s="13"/>
      <c r="K192" s="13"/>
      <c r="L192" s="13"/>
      <c r="M192" s="13"/>
      <c r="N192" s="13"/>
      <c r="O192" s="30"/>
      <c r="P192" s="30"/>
      <c r="Q192" s="30"/>
    </row>
    <row r="193" spans="9:17">
      <c r="I193" s="13"/>
      <c r="J193" s="13"/>
      <c r="K193" s="13"/>
      <c r="L193" s="13"/>
      <c r="M193" s="13"/>
      <c r="N193" s="13"/>
      <c r="O193" s="30"/>
      <c r="P193" s="30"/>
      <c r="Q193" s="30"/>
    </row>
    <row r="194" spans="9:17">
      <c r="I194" s="13"/>
      <c r="J194" s="13"/>
      <c r="K194" s="13"/>
      <c r="L194" s="13"/>
      <c r="M194" s="13"/>
      <c r="N194" s="13"/>
      <c r="O194" s="30"/>
      <c r="P194" s="30"/>
      <c r="Q194" s="30"/>
    </row>
    <row r="195" spans="9:17">
      <c r="I195" s="13"/>
      <c r="J195" s="13"/>
      <c r="K195" s="13"/>
      <c r="L195" s="13"/>
      <c r="M195" s="13"/>
      <c r="N195" s="13"/>
      <c r="O195" s="30"/>
      <c r="P195" s="30"/>
      <c r="Q195" s="30"/>
    </row>
    <row r="196" spans="9:17">
      <c r="I196" s="13"/>
      <c r="J196" s="13"/>
      <c r="K196" s="13"/>
      <c r="L196" s="13"/>
      <c r="M196" s="13"/>
      <c r="N196" s="13"/>
      <c r="O196" s="30"/>
      <c r="P196" s="30"/>
      <c r="Q196" s="30"/>
    </row>
    <row r="197" spans="9:17">
      <c r="I197" s="13"/>
      <c r="J197" s="13"/>
      <c r="K197" s="13"/>
      <c r="L197" s="13"/>
      <c r="M197" s="13"/>
      <c r="N197" s="13"/>
      <c r="O197" s="30"/>
      <c r="P197" s="30"/>
      <c r="Q197" s="30"/>
    </row>
    <row r="198" spans="9:17">
      <c r="I198" s="13"/>
      <c r="J198" s="13"/>
      <c r="K198" s="13"/>
      <c r="L198" s="13"/>
      <c r="M198" s="13"/>
      <c r="N198" s="13"/>
      <c r="O198" s="30"/>
      <c r="P198" s="30"/>
      <c r="Q198" s="30"/>
    </row>
    <row r="199" spans="9:17">
      <c r="I199" s="13"/>
      <c r="J199" s="13"/>
      <c r="K199" s="13"/>
      <c r="L199" s="13"/>
      <c r="M199" s="13"/>
      <c r="N199" s="13"/>
      <c r="O199" s="30"/>
      <c r="P199" s="30"/>
      <c r="Q199" s="30"/>
    </row>
    <row r="200" spans="9:17">
      <c r="I200" s="13"/>
      <c r="J200" s="13"/>
      <c r="K200" s="13"/>
      <c r="L200" s="13"/>
      <c r="M200" s="13"/>
      <c r="N200" s="13"/>
      <c r="O200" s="30"/>
      <c r="P200" s="30"/>
      <c r="Q200" s="30"/>
    </row>
    <row r="201" spans="9:17">
      <c r="I201" s="13"/>
      <c r="J201" s="13"/>
      <c r="K201" s="13"/>
      <c r="L201" s="13"/>
      <c r="M201" s="13"/>
      <c r="N201" s="13"/>
      <c r="O201" s="30"/>
      <c r="P201" s="30"/>
      <c r="Q201" s="30"/>
    </row>
    <row r="202" spans="9:17">
      <c r="I202" s="13"/>
      <c r="J202" s="13"/>
      <c r="K202" s="13"/>
      <c r="L202" s="13"/>
      <c r="M202" s="13"/>
      <c r="N202" s="13"/>
      <c r="O202" s="30"/>
      <c r="P202" s="30"/>
      <c r="Q202" s="30"/>
    </row>
    <row r="203" spans="9:17">
      <c r="I203" s="13"/>
      <c r="J203" s="13"/>
      <c r="K203" s="13"/>
      <c r="L203" s="13"/>
      <c r="M203" s="13"/>
      <c r="N203" s="13"/>
      <c r="O203" s="30"/>
      <c r="P203" s="30"/>
      <c r="Q203" s="30"/>
    </row>
    <row r="204" spans="9:17">
      <c r="I204" s="13"/>
      <c r="J204" s="13"/>
      <c r="K204" s="13"/>
      <c r="L204" s="13"/>
      <c r="M204" s="13"/>
      <c r="N204" s="13"/>
      <c r="O204" s="30"/>
      <c r="P204" s="30"/>
      <c r="Q204" s="30"/>
    </row>
    <row r="205" spans="9:17">
      <c r="I205" s="13"/>
      <c r="J205" s="13"/>
      <c r="K205" s="13"/>
      <c r="L205" s="13"/>
      <c r="M205" s="13"/>
      <c r="N205" s="13"/>
      <c r="O205" s="30"/>
      <c r="P205" s="30"/>
      <c r="Q205" s="30"/>
    </row>
    <row r="206" spans="9:17">
      <c r="I206" s="13"/>
      <c r="J206" s="13"/>
      <c r="K206" s="13"/>
      <c r="L206" s="13"/>
      <c r="M206" s="13"/>
      <c r="N206" s="13"/>
      <c r="O206" s="30"/>
      <c r="P206" s="30"/>
      <c r="Q206" s="30"/>
    </row>
    <row r="207" spans="9:17">
      <c r="I207" s="13"/>
      <c r="J207" s="13"/>
      <c r="K207" s="13"/>
      <c r="L207" s="13"/>
      <c r="M207" s="13"/>
      <c r="N207" s="13"/>
      <c r="O207" s="30"/>
      <c r="P207" s="30"/>
      <c r="Q207" s="30"/>
    </row>
    <row r="208" spans="9:17">
      <c r="I208" s="13"/>
      <c r="J208" s="13"/>
      <c r="K208" s="13"/>
      <c r="L208" s="13"/>
      <c r="M208" s="13"/>
      <c r="N208" s="13"/>
      <c r="O208" s="30"/>
      <c r="P208" s="30"/>
      <c r="Q208" s="30"/>
    </row>
    <row r="209" spans="9:17">
      <c r="I209" s="13"/>
      <c r="J209" s="13"/>
      <c r="K209" s="13"/>
      <c r="L209" s="13"/>
      <c r="M209" s="13"/>
      <c r="N209" s="13"/>
      <c r="O209" s="30"/>
      <c r="P209" s="30"/>
      <c r="Q209" s="30"/>
    </row>
    <row r="210" spans="9:17">
      <c r="I210" s="13"/>
      <c r="J210" s="13"/>
      <c r="K210" s="13"/>
      <c r="L210" s="13"/>
      <c r="M210" s="13"/>
      <c r="N210" s="13"/>
      <c r="O210" s="30"/>
      <c r="P210" s="30"/>
      <c r="Q210" s="30"/>
    </row>
    <row r="211" spans="9:17">
      <c r="I211" s="13"/>
      <c r="J211" s="13"/>
      <c r="K211" s="13"/>
      <c r="L211" s="13"/>
      <c r="M211" s="13"/>
      <c r="N211" s="13"/>
      <c r="O211" s="30"/>
      <c r="P211" s="30"/>
      <c r="Q211" s="30"/>
    </row>
    <row r="212" spans="9:17">
      <c r="I212" s="13"/>
      <c r="J212" s="13"/>
      <c r="K212" s="13"/>
      <c r="L212" s="13"/>
      <c r="M212" s="13"/>
      <c r="N212" s="13"/>
      <c r="O212" s="30"/>
      <c r="P212" s="30"/>
      <c r="Q212" s="30"/>
    </row>
    <row r="213" spans="9:17">
      <c r="I213" s="13"/>
      <c r="J213" s="13"/>
      <c r="K213" s="13"/>
      <c r="L213" s="13"/>
      <c r="M213" s="13"/>
      <c r="N213" s="13"/>
      <c r="O213" s="30"/>
      <c r="P213" s="30"/>
      <c r="Q213" s="30"/>
    </row>
    <row r="214" spans="9:17">
      <c r="I214" s="13"/>
      <c r="J214" s="13"/>
      <c r="K214" s="13"/>
      <c r="L214" s="13"/>
      <c r="M214" s="13"/>
      <c r="N214" s="13"/>
      <c r="O214" s="30"/>
      <c r="P214" s="30"/>
      <c r="Q214" s="30"/>
    </row>
    <row r="215" spans="9:17">
      <c r="I215" s="13"/>
      <c r="J215" s="13"/>
      <c r="K215" s="13"/>
      <c r="L215" s="13"/>
      <c r="M215" s="13"/>
      <c r="N215" s="13"/>
      <c r="O215" s="30"/>
      <c r="P215" s="30"/>
      <c r="Q215" s="30"/>
    </row>
    <row r="216" spans="9:17">
      <c r="I216" s="13"/>
      <c r="J216" s="13"/>
      <c r="K216" s="13"/>
      <c r="L216" s="13"/>
      <c r="M216" s="13"/>
      <c r="N216" s="13"/>
      <c r="O216" s="30"/>
      <c r="P216" s="30"/>
      <c r="Q216" s="30"/>
    </row>
    <row r="217" spans="9:17">
      <c r="I217" s="13"/>
      <c r="J217" s="13"/>
      <c r="K217" s="13"/>
      <c r="L217" s="13"/>
      <c r="M217" s="13"/>
      <c r="N217" s="13"/>
      <c r="O217" s="30"/>
      <c r="P217" s="30"/>
      <c r="Q217" s="30"/>
    </row>
    <row r="218" spans="9:17">
      <c r="I218" s="13"/>
      <c r="J218" s="13"/>
      <c r="K218" s="13"/>
      <c r="L218" s="13"/>
      <c r="M218" s="13"/>
      <c r="N218" s="13"/>
      <c r="O218" s="30"/>
      <c r="P218" s="30"/>
      <c r="Q218" s="30"/>
    </row>
    <row r="219" spans="9:17">
      <c r="I219" s="13"/>
      <c r="J219" s="13"/>
      <c r="K219" s="13"/>
      <c r="L219" s="13"/>
      <c r="M219" s="13"/>
      <c r="N219" s="13"/>
      <c r="O219" s="30"/>
      <c r="P219" s="30"/>
      <c r="Q219" s="30"/>
    </row>
    <row r="220" spans="9:17">
      <c r="I220" s="13"/>
      <c r="J220" s="13"/>
      <c r="K220" s="13"/>
      <c r="L220" s="13"/>
      <c r="M220" s="13"/>
      <c r="N220" s="13"/>
      <c r="O220" s="30"/>
      <c r="P220" s="30"/>
      <c r="Q220" s="30"/>
    </row>
    <row r="221" spans="9:17">
      <c r="I221" s="13"/>
      <c r="J221" s="13"/>
      <c r="K221" s="13"/>
      <c r="L221" s="13"/>
      <c r="M221" s="13"/>
      <c r="N221" s="13"/>
      <c r="O221" s="30"/>
      <c r="P221" s="30"/>
      <c r="Q221" s="30"/>
    </row>
    <row r="222" spans="9:17">
      <c r="I222" s="13"/>
      <c r="J222" s="13"/>
      <c r="K222" s="13"/>
      <c r="L222" s="13"/>
      <c r="M222" s="13"/>
      <c r="N222" s="13"/>
      <c r="O222" s="30"/>
      <c r="P222" s="30"/>
      <c r="Q222" s="30"/>
    </row>
    <row r="223" spans="9:17">
      <c r="I223" s="13"/>
      <c r="J223" s="13"/>
      <c r="K223" s="13"/>
      <c r="L223" s="13"/>
      <c r="M223" s="13"/>
      <c r="N223" s="13"/>
      <c r="O223" s="30"/>
      <c r="P223" s="30"/>
      <c r="Q223" s="30"/>
    </row>
    <row r="224" spans="9:17">
      <c r="I224" s="13"/>
      <c r="J224" s="13"/>
      <c r="K224" s="13"/>
      <c r="L224" s="13"/>
      <c r="M224" s="13"/>
      <c r="N224" s="13"/>
      <c r="O224" s="30"/>
      <c r="P224" s="30"/>
      <c r="Q224" s="30"/>
    </row>
    <row r="225" spans="9:17">
      <c r="I225" s="13"/>
      <c r="J225" s="13"/>
      <c r="K225" s="13"/>
      <c r="L225" s="13"/>
      <c r="M225" s="13"/>
      <c r="N225" s="13"/>
      <c r="O225" s="30"/>
      <c r="P225" s="30"/>
      <c r="Q225" s="30"/>
    </row>
    <row r="226" spans="9:17">
      <c r="I226" s="13"/>
      <c r="J226" s="13"/>
      <c r="K226" s="13"/>
      <c r="L226" s="13"/>
      <c r="M226" s="13"/>
      <c r="N226" s="13"/>
      <c r="O226" s="30"/>
      <c r="P226" s="30"/>
      <c r="Q226" s="30"/>
    </row>
    <row r="227" spans="9:17">
      <c r="I227" s="13"/>
      <c r="J227" s="13"/>
      <c r="K227" s="13"/>
      <c r="L227" s="13"/>
      <c r="M227" s="13"/>
      <c r="N227" s="13"/>
      <c r="O227" s="30"/>
      <c r="P227" s="30"/>
      <c r="Q227" s="30"/>
    </row>
    <row r="228" spans="9:17">
      <c r="I228" s="13"/>
      <c r="J228" s="13"/>
      <c r="K228" s="13"/>
      <c r="L228" s="13"/>
      <c r="M228" s="13"/>
      <c r="N228" s="13"/>
      <c r="O228" s="30"/>
      <c r="P228" s="30"/>
      <c r="Q228" s="30"/>
    </row>
    <row r="229" spans="9:17">
      <c r="I229" s="13"/>
      <c r="J229" s="13"/>
      <c r="K229" s="13"/>
      <c r="L229" s="13"/>
      <c r="M229" s="13"/>
      <c r="N229" s="13"/>
      <c r="O229" s="30"/>
      <c r="P229" s="30"/>
      <c r="Q229" s="30"/>
    </row>
    <row r="230" spans="9:17">
      <c r="I230" s="13"/>
      <c r="J230" s="13"/>
      <c r="K230" s="13"/>
      <c r="L230" s="13"/>
      <c r="M230" s="13"/>
      <c r="N230" s="13"/>
      <c r="O230" s="30"/>
      <c r="P230" s="30"/>
      <c r="Q230" s="30"/>
    </row>
    <row r="231" spans="9:17">
      <c r="I231" s="13"/>
      <c r="J231" s="13"/>
      <c r="K231" s="13"/>
      <c r="L231" s="13"/>
      <c r="M231" s="13"/>
      <c r="N231" s="13"/>
      <c r="O231" s="30"/>
      <c r="P231" s="30"/>
      <c r="Q231" s="30"/>
    </row>
    <row r="232" spans="9:17">
      <c r="I232" s="13"/>
      <c r="J232" s="13"/>
      <c r="K232" s="13"/>
      <c r="L232" s="13"/>
      <c r="M232" s="13"/>
      <c r="N232" s="13"/>
      <c r="O232" s="30"/>
      <c r="P232" s="30"/>
      <c r="Q232" s="30"/>
    </row>
    <row r="233" spans="9:17">
      <c r="I233" s="13"/>
      <c r="J233" s="13"/>
      <c r="K233" s="13"/>
      <c r="L233" s="13"/>
      <c r="M233" s="13"/>
      <c r="N233" s="13"/>
      <c r="O233" s="30"/>
      <c r="P233" s="30"/>
      <c r="Q233" s="30"/>
    </row>
    <row r="234" spans="9:17">
      <c r="I234" s="13"/>
      <c r="J234" s="13"/>
      <c r="K234" s="13"/>
      <c r="L234" s="13"/>
      <c r="M234" s="13"/>
      <c r="N234" s="13"/>
      <c r="O234" s="30"/>
      <c r="P234" s="30"/>
      <c r="Q234" s="30"/>
    </row>
    <row r="235" spans="9:17">
      <c r="I235" s="13"/>
      <c r="J235" s="13"/>
      <c r="K235" s="13"/>
      <c r="L235" s="13"/>
      <c r="M235" s="13"/>
      <c r="N235" s="13"/>
      <c r="O235" s="30"/>
      <c r="P235" s="30"/>
      <c r="Q235" s="30"/>
    </row>
    <row r="236" spans="9:17">
      <c r="I236" s="13"/>
      <c r="J236" s="13"/>
      <c r="K236" s="13"/>
      <c r="L236" s="13"/>
      <c r="M236" s="13"/>
      <c r="N236" s="13"/>
      <c r="O236" s="30"/>
      <c r="P236" s="30"/>
      <c r="Q236" s="30"/>
    </row>
    <row r="237" spans="9:17">
      <c r="I237" s="13"/>
      <c r="J237" s="13"/>
      <c r="K237" s="13"/>
      <c r="L237" s="13"/>
      <c r="M237" s="13"/>
      <c r="N237" s="13"/>
      <c r="O237" s="30"/>
      <c r="P237" s="30"/>
      <c r="Q237" s="30"/>
    </row>
    <row r="238" spans="9:17">
      <c r="I238" s="13"/>
      <c r="J238" s="13"/>
      <c r="K238" s="13"/>
      <c r="L238" s="13"/>
      <c r="M238" s="13"/>
      <c r="N238" s="13"/>
      <c r="O238" s="30"/>
      <c r="P238" s="30"/>
      <c r="Q238" s="30"/>
    </row>
    <row r="239" spans="9:17">
      <c r="I239" s="13"/>
      <c r="J239" s="13"/>
      <c r="K239" s="13"/>
      <c r="L239" s="13"/>
      <c r="M239" s="13"/>
      <c r="N239" s="13"/>
      <c r="O239" s="30"/>
      <c r="P239" s="30"/>
      <c r="Q239" s="30"/>
    </row>
    <row r="240" spans="9:17">
      <c r="I240" s="13"/>
      <c r="J240" s="13"/>
      <c r="K240" s="13"/>
      <c r="L240" s="13"/>
      <c r="M240" s="13"/>
      <c r="N240" s="13"/>
      <c r="O240" s="30"/>
      <c r="P240" s="30"/>
      <c r="Q240" s="30"/>
    </row>
    <row r="241" spans="9:17">
      <c r="I241" s="13"/>
      <c r="J241" s="13"/>
      <c r="K241" s="13"/>
      <c r="L241" s="13"/>
      <c r="M241" s="13"/>
      <c r="N241" s="13"/>
      <c r="O241" s="30"/>
      <c r="P241" s="30"/>
      <c r="Q241" s="30"/>
    </row>
    <row r="242" spans="9:17">
      <c r="I242" s="13"/>
      <c r="J242" s="13"/>
      <c r="K242" s="13"/>
      <c r="L242" s="13"/>
      <c r="M242" s="13"/>
      <c r="N242" s="13"/>
      <c r="O242" s="30"/>
      <c r="P242" s="30"/>
      <c r="Q242" s="30"/>
    </row>
    <row r="243" spans="9:17">
      <c r="I243" s="13"/>
      <c r="J243" s="13"/>
      <c r="K243" s="13"/>
      <c r="L243" s="13"/>
      <c r="M243" s="13"/>
      <c r="N243" s="13"/>
      <c r="O243" s="30"/>
      <c r="P243" s="30"/>
      <c r="Q243" s="30"/>
    </row>
    <row r="244" spans="9:17">
      <c r="I244" s="13"/>
      <c r="J244" s="13"/>
      <c r="K244" s="13"/>
      <c r="L244" s="13"/>
      <c r="M244" s="13"/>
      <c r="N244" s="13"/>
      <c r="O244" s="30"/>
      <c r="P244" s="30"/>
      <c r="Q244" s="30"/>
    </row>
    <row r="245" spans="9:17">
      <c r="I245" s="13"/>
      <c r="J245" s="13"/>
      <c r="K245" s="13"/>
      <c r="L245" s="13"/>
      <c r="M245" s="13"/>
      <c r="N245" s="13"/>
      <c r="O245" s="30"/>
      <c r="P245" s="30"/>
      <c r="Q245" s="30"/>
    </row>
    <row r="246" spans="9:17">
      <c r="I246" s="13"/>
      <c r="J246" s="13"/>
      <c r="K246" s="13"/>
      <c r="L246" s="13"/>
      <c r="M246" s="13"/>
      <c r="N246" s="13"/>
      <c r="O246" s="30"/>
      <c r="P246" s="30"/>
      <c r="Q246" s="30"/>
    </row>
    <row r="247" spans="9:17">
      <c r="I247" s="13"/>
      <c r="J247" s="13"/>
      <c r="K247" s="13"/>
      <c r="L247" s="13"/>
      <c r="M247" s="13"/>
      <c r="N247" s="13"/>
      <c r="O247" s="30"/>
      <c r="P247" s="30"/>
      <c r="Q247" s="30"/>
    </row>
    <row r="248" spans="9:17">
      <c r="I248" s="13"/>
      <c r="J248" s="13"/>
      <c r="K248" s="13"/>
      <c r="L248" s="13"/>
      <c r="M248" s="13"/>
      <c r="N248" s="13"/>
      <c r="O248" s="30"/>
      <c r="P248" s="30"/>
      <c r="Q248" s="30"/>
    </row>
    <row r="249" spans="9:17">
      <c r="I249" s="13"/>
      <c r="J249" s="13"/>
      <c r="K249" s="13"/>
      <c r="L249" s="13"/>
      <c r="M249" s="13"/>
      <c r="N249" s="13"/>
      <c r="O249" s="30"/>
      <c r="P249" s="30"/>
      <c r="Q249" s="30"/>
    </row>
    <row r="250" spans="9:17">
      <c r="I250" s="13"/>
      <c r="J250" s="13"/>
      <c r="K250" s="13"/>
      <c r="L250" s="13"/>
      <c r="M250" s="13"/>
      <c r="N250" s="13"/>
      <c r="O250" s="30"/>
      <c r="P250" s="30"/>
      <c r="Q250" s="30"/>
    </row>
    <row r="251" spans="9:17">
      <c r="I251" s="13"/>
      <c r="J251" s="13"/>
      <c r="K251" s="13"/>
      <c r="L251" s="13"/>
      <c r="M251" s="13"/>
      <c r="N251" s="13"/>
      <c r="O251" s="30"/>
      <c r="P251" s="30"/>
      <c r="Q251" s="30"/>
    </row>
    <row r="252" spans="9:17">
      <c r="I252" s="13"/>
      <c r="J252" s="13"/>
      <c r="K252" s="13"/>
      <c r="L252" s="13"/>
      <c r="M252" s="13"/>
      <c r="N252" s="13"/>
      <c r="O252" s="30"/>
      <c r="P252" s="30"/>
      <c r="Q252" s="30"/>
    </row>
    <row r="253" spans="9:17">
      <c r="I253" s="13"/>
      <c r="J253" s="13"/>
      <c r="K253" s="13"/>
      <c r="L253" s="13"/>
      <c r="M253" s="13"/>
      <c r="N253" s="13"/>
      <c r="O253" s="30"/>
      <c r="P253" s="30"/>
      <c r="Q253" s="30"/>
    </row>
    <row r="254" spans="9:17">
      <c r="I254" s="13"/>
      <c r="J254" s="13"/>
      <c r="K254" s="13"/>
      <c r="L254" s="13"/>
      <c r="M254" s="13"/>
      <c r="N254" s="13"/>
      <c r="O254" s="30"/>
      <c r="P254" s="30"/>
      <c r="Q254" s="30"/>
    </row>
    <row r="255" spans="9:17">
      <c r="I255" s="13"/>
      <c r="J255" s="13"/>
      <c r="K255" s="13"/>
      <c r="L255" s="13"/>
      <c r="M255" s="13"/>
      <c r="N255" s="13"/>
      <c r="O255" s="30"/>
      <c r="P255" s="30"/>
      <c r="Q255" s="30"/>
    </row>
    <row r="256" spans="9:17">
      <c r="I256" s="13"/>
      <c r="J256" s="13"/>
      <c r="K256" s="13"/>
      <c r="L256" s="13"/>
      <c r="M256" s="13"/>
      <c r="N256" s="13"/>
      <c r="O256" s="30"/>
      <c r="P256" s="30"/>
      <c r="Q256" s="30"/>
    </row>
    <row r="257" spans="9:17">
      <c r="I257" s="13"/>
      <c r="J257" s="13"/>
      <c r="K257" s="13"/>
      <c r="L257" s="13"/>
      <c r="M257" s="13"/>
      <c r="N257" s="13"/>
      <c r="O257" s="30"/>
      <c r="P257" s="30"/>
      <c r="Q257" s="30"/>
    </row>
    <row r="258" spans="9:17">
      <c r="I258" s="13"/>
      <c r="J258" s="13"/>
      <c r="K258" s="13"/>
      <c r="L258" s="13"/>
      <c r="M258" s="13"/>
      <c r="N258" s="13"/>
      <c r="O258" s="30"/>
      <c r="P258" s="30"/>
      <c r="Q258" s="30"/>
    </row>
    <row r="259" spans="9:17">
      <c r="I259" s="13"/>
      <c r="J259" s="13"/>
      <c r="K259" s="13"/>
      <c r="L259" s="13"/>
      <c r="M259" s="13"/>
      <c r="N259" s="13"/>
      <c r="O259" s="30"/>
      <c r="P259" s="30"/>
      <c r="Q259" s="30"/>
    </row>
    <row r="260" spans="9:17">
      <c r="I260" s="13"/>
      <c r="J260" s="13"/>
      <c r="K260" s="13"/>
      <c r="L260" s="13"/>
      <c r="M260" s="13"/>
      <c r="N260" s="13"/>
      <c r="O260" s="30"/>
      <c r="P260" s="30"/>
      <c r="Q260" s="30"/>
    </row>
    <row r="261" spans="9:17">
      <c r="I261" s="13"/>
      <c r="J261" s="13"/>
      <c r="K261" s="13"/>
      <c r="L261" s="13"/>
      <c r="M261" s="13"/>
      <c r="N261" s="13"/>
      <c r="O261" s="30"/>
      <c r="P261" s="30"/>
      <c r="Q261" s="30"/>
    </row>
    <row r="262" spans="9:17">
      <c r="I262" s="13"/>
      <c r="J262" s="13"/>
      <c r="K262" s="13"/>
      <c r="L262" s="13"/>
      <c r="M262" s="13"/>
      <c r="N262" s="13"/>
      <c r="O262" s="30"/>
      <c r="P262" s="30"/>
      <c r="Q262" s="30"/>
    </row>
    <row r="263" spans="9:17">
      <c r="I263" s="13"/>
      <c r="J263" s="13"/>
      <c r="K263" s="13"/>
      <c r="L263" s="13"/>
      <c r="M263" s="13"/>
      <c r="N263" s="13"/>
      <c r="O263" s="30"/>
      <c r="P263" s="30"/>
      <c r="Q263" s="30"/>
    </row>
    <row r="264" spans="9:17">
      <c r="I264" s="13"/>
      <c r="J264" s="13"/>
      <c r="K264" s="13"/>
      <c r="L264" s="13"/>
      <c r="M264" s="13"/>
      <c r="N264" s="13"/>
      <c r="O264" s="30"/>
      <c r="P264" s="30"/>
      <c r="Q264" s="30"/>
    </row>
    <row r="265" spans="9:17">
      <c r="I265" s="13"/>
      <c r="J265" s="13"/>
      <c r="K265" s="13"/>
      <c r="L265" s="13"/>
      <c r="M265" s="13"/>
      <c r="N265" s="13"/>
      <c r="O265" s="30"/>
      <c r="P265" s="30"/>
      <c r="Q265" s="30"/>
    </row>
    <row r="266" spans="9:17">
      <c r="I266" s="13"/>
      <c r="J266" s="13"/>
      <c r="K266" s="13"/>
      <c r="L266" s="13"/>
      <c r="M266" s="13"/>
      <c r="N266" s="13"/>
      <c r="O266" s="30"/>
      <c r="P266" s="30"/>
      <c r="Q266" s="30"/>
    </row>
    <row r="267" spans="9:17">
      <c r="I267" s="13"/>
      <c r="J267" s="13"/>
      <c r="K267" s="13"/>
      <c r="L267" s="13"/>
      <c r="M267" s="13"/>
      <c r="N267" s="13"/>
      <c r="O267" s="30"/>
      <c r="P267" s="30"/>
      <c r="Q267" s="30"/>
    </row>
    <row r="268" spans="9:17">
      <c r="I268" s="13"/>
      <c r="J268" s="13"/>
      <c r="K268" s="13"/>
      <c r="L268" s="13"/>
      <c r="M268" s="13"/>
      <c r="N268" s="13"/>
      <c r="O268" s="30"/>
      <c r="P268" s="30"/>
      <c r="Q268" s="30"/>
    </row>
    <row r="269" spans="9:17">
      <c r="I269" s="13"/>
      <c r="J269" s="13"/>
      <c r="K269" s="13"/>
      <c r="L269" s="13"/>
      <c r="M269" s="13"/>
      <c r="N269" s="13"/>
      <c r="O269" s="30"/>
      <c r="P269" s="30"/>
      <c r="Q269" s="30"/>
    </row>
    <row r="270" spans="9:17">
      <c r="I270" s="13"/>
      <c r="J270" s="13"/>
      <c r="K270" s="13"/>
      <c r="L270" s="13"/>
      <c r="M270" s="13"/>
      <c r="N270" s="13"/>
      <c r="O270" s="30"/>
      <c r="P270" s="30"/>
      <c r="Q270" s="30"/>
    </row>
    <row r="271" spans="9:17">
      <c r="I271" s="13"/>
      <c r="J271" s="13"/>
      <c r="K271" s="13"/>
      <c r="L271" s="13"/>
      <c r="M271" s="13"/>
      <c r="N271" s="13"/>
      <c r="O271" s="30"/>
      <c r="P271" s="30"/>
      <c r="Q271" s="30"/>
    </row>
    <row r="272" spans="9:17">
      <c r="I272" s="13"/>
      <c r="J272" s="13"/>
      <c r="K272" s="13"/>
      <c r="L272" s="13"/>
      <c r="M272" s="13"/>
      <c r="N272" s="13"/>
      <c r="O272" s="30"/>
      <c r="P272" s="30"/>
      <c r="Q272" s="30"/>
    </row>
    <row r="273" spans="9:17">
      <c r="I273" s="13"/>
      <c r="J273" s="13"/>
      <c r="K273" s="13"/>
      <c r="L273" s="13"/>
      <c r="M273" s="13"/>
      <c r="N273" s="13"/>
      <c r="O273" s="30"/>
      <c r="P273" s="30"/>
      <c r="Q273" s="30"/>
    </row>
    <row r="274" spans="9:17">
      <c r="I274" s="13"/>
      <c r="J274" s="13"/>
      <c r="K274" s="13"/>
      <c r="L274" s="13"/>
      <c r="M274" s="13"/>
      <c r="N274" s="13"/>
      <c r="O274" s="30"/>
      <c r="P274" s="30"/>
      <c r="Q274" s="30"/>
    </row>
    <row r="275" spans="9:17">
      <c r="I275" s="13"/>
      <c r="J275" s="13"/>
      <c r="K275" s="13"/>
      <c r="L275" s="13"/>
      <c r="M275" s="13"/>
      <c r="N275" s="13"/>
      <c r="O275" s="30"/>
      <c r="P275" s="30"/>
      <c r="Q275" s="30"/>
    </row>
    <row r="276" spans="9:17">
      <c r="I276" s="13"/>
      <c r="J276" s="13"/>
      <c r="K276" s="13"/>
      <c r="L276" s="13"/>
      <c r="M276" s="13"/>
      <c r="N276" s="13"/>
      <c r="O276" s="30"/>
      <c r="P276" s="30"/>
      <c r="Q276" s="30"/>
    </row>
    <row r="277" spans="9:17">
      <c r="I277" s="13"/>
      <c r="J277" s="13"/>
      <c r="K277" s="13"/>
      <c r="L277" s="13"/>
      <c r="M277" s="13"/>
      <c r="N277" s="13"/>
      <c r="O277" s="30"/>
      <c r="P277" s="30"/>
      <c r="Q277" s="30"/>
    </row>
    <row r="278" spans="9:17">
      <c r="I278" s="13"/>
      <c r="J278" s="13"/>
      <c r="K278" s="13"/>
      <c r="L278" s="13"/>
      <c r="M278" s="13"/>
      <c r="N278" s="13"/>
      <c r="O278" s="30"/>
      <c r="P278" s="30"/>
      <c r="Q278" s="30"/>
    </row>
    <row r="279" spans="9:17">
      <c r="I279" s="13"/>
      <c r="J279" s="13"/>
      <c r="K279" s="13"/>
      <c r="L279" s="13"/>
      <c r="M279" s="13"/>
      <c r="N279" s="13"/>
      <c r="O279" s="30"/>
      <c r="P279" s="30"/>
      <c r="Q279" s="30"/>
    </row>
    <row r="280" spans="9:17">
      <c r="I280" s="13"/>
      <c r="J280" s="13"/>
      <c r="K280" s="13"/>
      <c r="L280" s="13"/>
      <c r="M280" s="13"/>
      <c r="N280" s="13"/>
      <c r="O280" s="30"/>
      <c r="P280" s="30"/>
      <c r="Q280" s="30"/>
    </row>
    <row r="281" spans="9:17">
      <c r="I281" s="13"/>
      <c r="J281" s="13"/>
      <c r="K281" s="13"/>
      <c r="L281" s="13"/>
      <c r="M281" s="13"/>
      <c r="N281" s="13"/>
      <c r="O281" s="30"/>
      <c r="P281" s="30"/>
      <c r="Q281" s="30"/>
    </row>
    <row r="282" spans="9:17">
      <c r="I282" s="13"/>
      <c r="J282" s="13"/>
      <c r="K282" s="13"/>
      <c r="L282" s="13"/>
      <c r="M282" s="13"/>
      <c r="N282" s="13"/>
      <c r="O282" s="30"/>
      <c r="P282" s="30"/>
      <c r="Q282" s="30"/>
    </row>
    <row r="283" spans="9:17">
      <c r="I283" s="13"/>
      <c r="J283" s="13"/>
      <c r="K283" s="13"/>
      <c r="L283" s="13"/>
      <c r="M283" s="13"/>
      <c r="N283" s="13"/>
      <c r="O283" s="30"/>
      <c r="P283" s="30"/>
      <c r="Q283" s="30"/>
    </row>
    <row r="284" spans="9:17">
      <c r="I284" s="13"/>
      <c r="J284" s="13"/>
      <c r="K284" s="13"/>
      <c r="L284" s="13"/>
      <c r="M284" s="13"/>
      <c r="N284" s="13"/>
      <c r="O284" s="30"/>
      <c r="P284" s="30"/>
      <c r="Q284" s="30"/>
    </row>
    <row r="285" spans="9:17">
      <c r="I285" s="13"/>
      <c r="J285" s="13"/>
      <c r="K285" s="13"/>
      <c r="L285" s="13"/>
      <c r="M285" s="13"/>
      <c r="N285" s="13"/>
      <c r="O285" s="30"/>
      <c r="P285" s="30"/>
      <c r="Q285" s="30"/>
    </row>
    <row r="286" spans="9:17">
      <c r="I286" s="13"/>
      <c r="J286" s="13"/>
      <c r="K286" s="13"/>
      <c r="L286" s="13"/>
      <c r="M286" s="13"/>
      <c r="N286" s="13"/>
      <c r="O286" s="30"/>
      <c r="P286" s="30"/>
      <c r="Q286" s="30"/>
    </row>
    <row r="287" spans="9:17">
      <c r="I287" s="13"/>
      <c r="J287" s="13"/>
      <c r="K287" s="13"/>
      <c r="L287" s="13"/>
      <c r="M287" s="13"/>
      <c r="N287" s="13"/>
      <c r="O287" s="30"/>
      <c r="P287" s="30"/>
      <c r="Q287" s="30"/>
    </row>
    <row r="288" spans="9:17">
      <c r="I288" s="13"/>
      <c r="J288" s="13"/>
      <c r="K288" s="13"/>
      <c r="L288" s="13"/>
      <c r="M288" s="13"/>
      <c r="N288" s="13"/>
      <c r="O288" s="30"/>
      <c r="P288" s="30"/>
      <c r="Q288" s="30"/>
    </row>
    <row r="289" spans="9:17">
      <c r="I289" s="13"/>
      <c r="J289" s="13"/>
      <c r="K289" s="13"/>
      <c r="L289" s="13"/>
      <c r="M289" s="13"/>
      <c r="N289" s="13"/>
      <c r="O289" s="30"/>
      <c r="P289" s="30"/>
      <c r="Q289" s="30"/>
    </row>
    <row r="290" spans="9:17">
      <c r="I290" s="13"/>
      <c r="J290" s="13"/>
      <c r="K290" s="13"/>
      <c r="L290" s="13"/>
      <c r="M290" s="13"/>
      <c r="N290" s="13"/>
      <c r="O290" s="30"/>
      <c r="P290" s="30"/>
      <c r="Q290" s="30"/>
    </row>
    <row r="291" spans="9:17">
      <c r="I291" s="13"/>
      <c r="J291" s="13"/>
      <c r="K291" s="13"/>
      <c r="L291" s="13"/>
      <c r="M291" s="13"/>
      <c r="N291" s="13"/>
      <c r="O291" s="30"/>
      <c r="P291" s="30"/>
      <c r="Q291" s="30"/>
    </row>
    <row r="292" spans="9:17">
      <c r="I292" s="13"/>
      <c r="J292" s="13"/>
      <c r="K292" s="13"/>
      <c r="L292" s="13"/>
      <c r="M292" s="13"/>
      <c r="N292" s="13"/>
      <c r="O292" s="30"/>
      <c r="P292" s="30"/>
      <c r="Q292" s="30"/>
    </row>
    <row r="293" spans="9:17">
      <c r="I293" s="13"/>
      <c r="J293" s="13"/>
      <c r="K293" s="13"/>
      <c r="L293" s="13"/>
      <c r="M293" s="13"/>
      <c r="N293" s="13"/>
      <c r="O293" s="30"/>
      <c r="P293" s="30"/>
      <c r="Q293" s="30"/>
    </row>
    <row r="294" spans="9:17">
      <c r="I294" s="13"/>
      <c r="J294" s="13"/>
      <c r="K294" s="13"/>
      <c r="L294" s="13"/>
      <c r="M294" s="13"/>
      <c r="N294" s="13"/>
      <c r="O294" s="30"/>
      <c r="P294" s="30"/>
      <c r="Q294" s="30"/>
    </row>
    <row r="295" spans="9:17">
      <c r="I295" s="13"/>
      <c r="J295" s="13"/>
      <c r="K295" s="13"/>
      <c r="L295" s="13"/>
      <c r="M295" s="13"/>
      <c r="N295" s="13"/>
      <c r="O295" s="30"/>
      <c r="P295" s="30"/>
      <c r="Q295" s="30"/>
    </row>
    <row r="296" spans="9:17">
      <c r="I296" s="13"/>
      <c r="J296" s="13"/>
      <c r="K296" s="13"/>
      <c r="L296" s="13"/>
      <c r="M296" s="13"/>
      <c r="N296" s="13"/>
      <c r="O296" s="30"/>
      <c r="P296" s="30"/>
      <c r="Q296" s="30"/>
    </row>
    <row r="297" spans="9:17">
      <c r="I297" s="13"/>
      <c r="J297" s="13"/>
      <c r="K297" s="13"/>
      <c r="L297" s="13"/>
      <c r="M297" s="13"/>
      <c r="N297" s="13"/>
      <c r="O297" s="30"/>
      <c r="P297" s="30"/>
      <c r="Q297" s="30"/>
    </row>
    <row r="298" spans="9:17">
      <c r="I298" s="13"/>
      <c r="J298" s="13"/>
      <c r="K298" s="13"/>
      <c r="L298" s="13"/>
      <c r="M298" s="13"/>
      <c r="N298" s="13"/>
      <c r="O298" s="30"/>
      <c r="P298" s="30"/>
      <c r="Q298" s="30"/>
    </row>
    <row r="299" spans="9:17">
      <c r="I299" s="13"/>
      <c r="J299" s="13"/>
      <c r="K299" s="13"/>
      <c r="L299" s="13"/>
      <c r="M299" s="13"/>
      <c r="N299" s="13"/>
      <c r="O299" s="30"/>
      <c r="P299" s="30"/>
      <c r="Q299" s="30"/>
    </row>
    <row r="300" spans="9:17">
      <c r="I300" s="13"/>
      <c r="J300" s="13"/>
      <c r="K300" s="13"/>
      <c r="L300" s="13"/>
      <c r="M300" s="13"/>
      <c r="N300" s="13"/>
      <c r="O300" s="30"/>
      <c r="P300" s="30"/>
      <c r="Q300" s="30"/>
    </row>
    <row r="301" spans="9:17">
      <c r="I301" s="13"/>
      <c r="J301" s="13"/>
      <c r="K301" s="13"/>
      <c r="L301" s="13"/>
      <c r="M301" s="13"/>
      <c r="N301" s="13"/>
      <c r="O301" s="30"/>
      <c r="P301" s="30"/>
      <c r="Q301" s="30"/>
    </row>
    <row r="302" spans="9:17">
      <c r="I302" s="13"/>
      <c r="J302" s="13"/>
      <c r="K302" s="13"/>
      <c r="L302" s="13"/>
      <c r="M302" s="13"/>
      <c r="N302" s="13"/>
      <c r="O302" s="30"/>
      <c r="P302" s="30"/>
      <c r="Q302" s="30"/>
    </row>
    <row r="303" spans="9:17">
      <c r="I303" s="13"/>
      <c r="J303" s="13"/>
      <c r="K303" s="13"/>
      <c r="L303" s="13"/>
      <c r="M303" s="13"/>
      <c r="N303" s="13"/>
      <c r="O303" s="30"/>
      <c r="P303" s="30"/>
      <c r="Q303" s="30"/>
    </row>
    <row r="304" spans="9:17">
      <c r="I304" s="13"/>
      <c r="J304" s="13"/>
      <c r="K304" s="13"/>
      <c r="L304" s="13"/>
      <c r="M304" s="13"/>
      <c r="N304" s="13"/>
      <c r="O304" s="30"/>
      <c r="P304" s="30"/>
      <c r="Q304" s="30"/>
    </row>
    <row r="305" spans="9:17">
      <c r="I305" s="13"/>
      <c r="J305" s="13"/>
      <c r="K305" s="13"/>
      <c r="L305" s="13"/>
      <c r="M305" s="13"/>
      <c r="N305" s="13"/>
      <c r="O305" s="30"/>
      <c r="P305" s="30"/>
      <c r="Q305" s="30"/>
    </row>
    <row r="306" spans="9:17">
      <c r="I306" s="13"/>
      <c r="J306" s="13"/>
      <c r="K306" s="13"/>
      <c r="L306" s="13"/>
      <c r="M306" s="13"/>
      <c r="N306" s="13"/>
      <c r="O306" s="30"/>
      <c r="P306" s="30"/>
      <c r="Q306" s="30"/>
    </row>
    <row r="307" spans="9:17">
      <c r="I307" s="13"/>
      <c r="J307" s="13"/>
      <c r="K307" s="13"/>
      <c r="L307" s="13"/>
      <c r="M307" s="13"/>
      <c r="N307" s="13"/>
      <c r="O307" s="30"/>
      <c r="P307" s="30"/>
      <c r="Q307" s="30"/>
    </row>
    <row r="308" spans="9:17">
      <c r="I308" s="13"/>
      <c r="J308" s="13"/>
      <c r="K308" s="13"/>
      <c r="L308" s="13"/>
      <c r="M308" s="13"/>
      <c r="N308" s="13"/>
      <c r="O308" s="30"/>
      <c r="P308" s="30"/>
      <c r="Q308" s="30"/>
    </row>
    <row r="309" spans="9:17">
      <c r="I309" s="13"/>
      <c r="J309" s="13"/>
      <c r="K309" s="13"/>
      <c r="L309" s="13"/>
      <c r="M309" s="13"/>
      <c r="N309" s="13"/>
      <c r="O309" s="30"/>
      <c r="P309" s="30"/>
      <c r="Q309" s="30"/>
    </row>
    <row r="310" spans="9:17">
      <c r="I310" s="13"/>
      <c r="J310" s="13"/>
      <c r="K310" s="13"/>
      <c r="L310" s="13"/>
      <c r="M310" s="13"/>
      <c r="N310" s="13"/>
      <c r="O310" s="30"/>
      <c r="P310" s="30"/>
      <c r="Q310" s="30"/>
    </row>
    <row r="311" spans="9:17">
      <c r="I311" s="13"/>
      <c r="J311" s="13"/>
      <c r="K311" s="13"/>
      <c r="L311" s="13"/>
      <c r="M311" s="13"/>
      <c r="N311" s="13"/>
      <c r="O311" s="30"/>
      <c r="P311" s="30"/>
      <c r="Q311" s="30"/>
    </row>
    <row r="312" spans="9:17">
      <c r="I312" s="13"/>
      <c r="J312" s="13"/>
      <c r="K312" s="13"/>
      <c r="L312" s="13"/>
      <c r="M312" s="13"/>
      <c r="N312" s="13"/>
      <c r="O312" s="30"/>
      <c r="P312" s="30"/>
      <c r="Q312" s="30"/>
    </row>
    <row r="313" spans="9:17">
      <c r="I313" s="13"/>
      <c r="J313" s="13"/>
      <c r="K313" s="13"/>
      <c r="L313" s="13"/>
      <c r="M313" s="13"/>
      <c r="N313" s="13"/>
      <c r="O313" s="30"/>
      <c r="P313" s="30"/>
      <c r="Q313" s="30"/>
    </row>
    <row r="314" spans="9:17">
      <c r="I314" s="13"/>
      <c r="J314" s="13"/>
      <c r="K314" s="13"/>
      <c r="L314" s="13"/>
      <c r="M314" s="13"/>
      <c r="N314" s="13"/>
      <c r="O314" s="30"/>
      <c r="P314" s="30"/>
      <c r="Q314" s="30"/>
    </row>
    <row r="315" spans="9:17">
      <c r="I315" s="13"/>
      <c r="J315" s="13"/>
      <c r="K315" s="13"/>
      <c r="L315" s="13"/>
      <c r="M315" s="13"/>
      <c r="N315" s="13"/>
      <c r="O315" s="30"/>
      <c r="P315" s="30"/>
      <c r="Q315" s="30"/>
    </row>
    <row r="316" spans="9:17">
      <c r="I316" s="13"/>
      <c r="J316" s="13"/>
      <c r="K316" s="13"/>
      <c r="L316" s="13"/>
      <c r="M316" s="13"/>
      <c r="N316" s="13"/>
      <c r="O316" s="30"/>
      <c r="P316" s="30"/>
      <c r="Q316" s="30"/>
    </row>
    <row r="317" spans="9:17">
      <c r="I317" s="13"/>
      <c r="J317" s="13"/>
      <c r="K317" s="13"/>
      <c r="L317" s="13"/>
      <c r="M317" s="13"/>
      <c r="N317" s="13"/>
      <c r="O317" s="30"/>
      <c r="P317" s="30"/>
      <c r="Q317" s="30"/>
    </row>
    <row r="318" spans="9:17">
      <c r="I318" s="13"/>
      <c r="J318" s="13"/>
      <c r="K318" s="13"/>
      <c r="L318" s="13"/>
      <c r="M318" s="13"/>
      <c r="N318" s="13"/>
      <c r="O318" s="30"/>
      <c r="P318" s="30"/>
      <c r="Q318" s="30"/>
    </row>
    <row r="319" spans="9:17">
      <c r="I319" s="13"/>
      <c r="J319" s="13"/>
      <c r="K319" s="13"/>
      <c r="L319" s="13"/>
      <c r="M319" s="13"/>
      <c r="N319" s="13"/>
      <c r="O319" s="30"/>
      <c r="P319" s="30"/>
      <c r="Q319" s="30"/>
    </row>
    <row r="320" spans="9:17">
      <c r="I320" s="13"/>
      <c r="J320" s="13"/>
      <c r="K320" s="13"/>
      <c r="L320" s="13"/>
      <c r="M320" s="13"/>
      <c r="N320" s="13"/>
      <c r="O320" s="30"/>
      <c r="P320" s="30"/>
      <c r="Q320" s="30"/>
    </row>
    <row r="321" spans="9:17">
      <c r="I321" s="13"/>
      <c r="J321" s="13"/>
      <c r="K321" s="13"/>
      <c r="L321" s="13"/>
      <c r="M321" s="13"/>
      <c r="N321" s="13"/>
      <c r="O321" s="30"/>
      <c r="P321" s="30"/>
      <c r="Q321" s="30"/>
    </row>
    <row r="322" spans="9:17">
      <c r="I322" s="13"/>
      <c r="J322" s="13"/>
      <c r="K322" s="13"/>
      <c r="L322" s="13"/>
      <c r="M322" s="13"/>
      <c r="N322" s="13"/>
      <c r="O322" s="30"/>
      <c r="P322" s="30"/>
      <c r="Q322" s="30"/>
    </row>
    <row r="323" spans="9:17">
      <c r="I323" s="13"/>
      <c r="J323" s="13"/>
      <c r="K323" s="13"/>
      <c r="L323" s="13"/>
      <c r="M323" s="13"/>
      <c r="N323" s="13"/>
      <c r="O323" s="30"/>
      <c r="P323" s="30"/>
      <c r="Q323" s="30"/>
    </row>
    <row r="324" spans="9:17">
      <c r="I324" s="13"/>
      <c r="J324" s="13"/>
      <c r="K324" s="13"/>
      <c r="L324" s="13"/>
      <c r="M324" s="13"/>
      <c r="N324" s="13"/>
      <c r="O324" s="30"/>
      <c r="P324" s="30"/>
      <c r="Q324" s="30"/>
    </row>
    <row r="325" spans="9:17">
      <c r="I325" s="13"/>
      <c r="J325" s="13"/>
      <c r="K325" s="13"/>
      <c r="L325" s="13"/>
      <c r="M325" s="13"/>
      <c r="N325" s="13"/>
      <c r="O325" s="30"/>
      <c r="P325" s="30"/>
      <c r="Q325" s="30"/>
    </row>
    <row r="326" spans="9:17">
      <c r="I326" s="13"/>
      <c r="J326" s="13"/>
      <c r="K326" s="13"/>
      <c r="L326" s="13"/>
      <c r="M326" s="13"/>
      <c r="N326" s="13"/>
      <c r="O326" s="30"/>
      <c r="P326" s="30"/>
      <c r="Q326" s="30"/>
    </row>
    <row r="327" spans="9:17">
      <c r="I327" s="13"/>
      <c r="J327" s="13"/>
      <c r="K327" s="13"/>
      <c r="L327" s="13"/>
      <c r="M327" s="13"/>
      <c r="N327" s="13"/>
      <c r="O327" s="30"/>
      <c r="P327" s="30"/>
      <c r="Q327" s="30"/>
    </row>
    <row r="328" spans="9:17">
      <c r="I328" s="13"/>
      <c r="J328" s="13"/>
      <c r="K328" s="13"/>
      <c r="L328" s="13"/>
      <c r="M328" s="13"/>
      <c r="N328" s="13"/>
      <c r="O328" s="30"/>
      <c r="P328" s="30"/>
      <c r="Q328" s="30"/>
    </row>
    <row r="329" spans="9:17">
      <c r="I329" s="13"/>
      <c r="J329" s="13"/>
      <c r="K329" s="13"/>
      <c r="L329" s="13"/>
      <c r="M329" s="13"/>
      <c r="N329" s="13"/>
      <c r="O329" s="30"/>
      <c r="P329" s="30"/>
      <c r="Q329" s="30"/>
    </row>
    <row r="330" spans="9:17">
      <c r="I330" s="13"/>
      <c r="J330" s="13"/>
      <c r="K330" s="13"/>
      <c r="L330" s="13"/>
      <c r="M330" s="13"/>
      <c r="N330" s="13"/>
      <c r="O330" s="30"/>
      <c r="P330" s="30"/>
      <c r="Q330" s="30"/>
    </row>
    <row r="331" spans="9:17">
      <c r="I331" s="13"/>
      <c r="J331" s="13"/>
      <c r="K331" s="13"/>
      <c r="L331" s="13"/>
      <c r="M331" s="13"/>
      <c r="N331" s="13"/>
      <c r="O331" s="30"/>
      <c r="P331" s="30"/>
      <c r="Q331" s="30"/>
    </row>
    <row r="332" spans="9:17">
      <c r="I332" s="13"/>
      <c r="J332" s="13"/>
      <c r="K332" s="13"/>
      <c r="L332" s="13"/>
      <c r="M332" s="13"/>
      <c r="N332" s="13"/>
      <c r="O332" s="30"/>
      <c r="P332" s="30"/>
      <c r="Q332" s="30"/>
    </row>
    <row r="333" spans="9:17">
      <c r="I333" s="13"/>
      <c r="J333" s="13"/>
      <c r="K333" s="13"/>
      <c r="L333" s="13"/>
      <c r="M333" s="13"/>
      <c r="N333" s="13"/>
      <c r="O333" s="30"/>
      <c r="P333" s="30"/>
      <c r="Q333" s="30"/>
    </row>
    <row r="334" spans="9:17">
      <c r="I334" s="13"/>
      <c r="J334" s="13"/>
      <c r="K334" s="13"/>
      <c r="L334" s="13"/>
      <c r="M334" s="13"/>
      <c r="N334" s="13"/>
      <c r="O334" s="30"/>
      <c r="P334" s="30"/>
      <c r="Q334" s="30"/>
    </row>
    <row r="335" spans="9:17">
      <c r="I335" s="13"/>
      <c r="J335" s="13"/>
      <c r="K335" s="13"/>
      <c r="L335" s="13"/>
      <c r="M335" s="13"/>
      <c r="N335" s="13"/>
      <c r="O335" s="30"/>
      <c r="P335" s="30"/>
      <c r="Q335" s="30"/>
    </row>
    <row r="336" spans="9:17">
      <c r="I336" s="13"/>
      <c r="J336" s="13"/>
      <c r="K336" s="13"/>
      <c r="L336" s="13"/>
      <c r="M336" s="13"/>
      <c r="N336" s="13"/>
      <c r="O336" s="30"/>
      <c r="P336" s="30"/>
      <c r="Q336" s="30"/>
    </row>
    <row r="337" spans="9:17">
      <c r="I337" s="13"/>
      <c r="J337" s="13"/>
      <c r="K337" s="13"/>
      <c r="L337" s="13"/>
      <c r="M337" s="13"/>
      <c r="N337" s="13"/>
      <c r="O337" s="30"/>
      <c r="P337" s="30"/>
      <c r="Q337" s="30"/>
    </row>
    <row r="338" spans="9:17">
      <c r="I338" s="13"/>
      <c r="J338" s="13"/>
      <c r="K338" s="13"/>
      <c r="L338" s="13"/>
      <c r="M338" s="13"/>
      <c r="N338" s="13"/>
      <c r="O338" s="30"/>
      <c r="P338" s="30"/>
      <c r="Q338" s="30"/>
    </row>
    <row r="339" spans="9:17">
      <c r="I339" s="13"/>
      <c r="J339" s="13"/>
      <c r="K339" s="13"/>
      <c r="L339" s="13"/>
      <c r="M339" s="13"/>
      <c r="N339" s="13"/>
      <c r="O339" s="30"/>
      <c r="P339" s="30"/>
      <c r="Q339" s="30"/>
    </row>
    <row r="340" spans="9:17">
      <c r="I340" s="13"/>
      <c r="J340" s="13"/>
      <c r="K340" s="13"/>
      <c r="L340" s="13"/>
      <c r="M340" s="13"/>
      <c r="N340" s="13"/>
      <c r="O340" s="30"/>
      <c r="P340" s="30"/>
      <c r="Q340" s="30"/>
    </row>
    <row r="341" spans="9:17">
      <c r="I341" s="13"/>
      <c r="J341" s="13"/>
      <c r="K341" s="13"/>
      <c r="L341" s="13"/>
      <c r="M341" s="13"/>
      <c r="N341" s="13"/>
      <c r="O341" s="30"/>
      <c r="P341" s="30"/>
      <c r="Q341" s="30"/>
    </row>
    <row r="342" spans="9:17">
      <c r="I342" s="13"/>
      <c r="J342" s="13"/>
      <c r="K342" s="13"/>
      <c r="L342" s="13"/>
      <c r="M342" s="13"/>
      <c r="N342" s="13"/>
      <c r="O342" s="30"/>
      <c r="P342" s="30"/>
      <c r="Q342" s="30"/>
    </row>
    <row r="343" spans="9:17">
      <c r="I343" s="13"/>
      <c r="J343" s="13"/>
      <c r="K343" s="13"/>
      <c r="L343" s="13"/>
      <c r="M343" s="13"/>
      <c r="N343" s="13"/>
      <c r="O343" s="30"/>
      <c r="P343" s="30"/>
      <c r="Q343" s="30"/>
    </row>
    <row r="344" spans="9:17">
      <c r="I344" s="13"/>
      <c r="J344" s="13"/>
      <c r="K344" s="13"/>
      <c r="L344" s="13"/>
      <c r="M344" s="13"/>
      <c r="N344" s="13"/>
      <c r="O344" s="30"/>
      <c r="P344" s="30"/>
      <c r="Q344" s="30"/>
    </row>
    <row r="345" spans="9:17">
      <c r="I345" s="13"/>
      <c r="J345" s="13"/>
      <c r="K345" s="13"/>
      <c r="L345" s="13"/>
      <c r="M345" s="13"/>
      <c r="N345" s="13"/>
      <c r="O345" s="30"/>
      <c r="P345" s="30"/>
      <c r="Q345" s="30"/>
    </row>
    <row r="346" spans="9:17">
      <c r="I346" s="13"/>
      <c r="J346" s="13"/>
      <c r="K346" s="13"/>
      <c r="L346" s="13"/>
      <c r="M346" s="13"/>
      <c r="N346" s="13"/>
      <c r="O346" s="30"/>
      <c r="P346" s="30"/>
      <c r="Q346" s="30"/>
    </row>
    <row r="347" spans="9:17">
      <c r="I347" s="13"/>
      <c r="J347" s="13"/>
      <c r="K347" s="13"/>
      <c r="L347" s="13"/>
      <c r="M347" s="13"/>
      <c r="N347" s="13"/>
      <c r="O347" s="30"/>
      <c r="P347" s="30"/>
      <c r="Q347" s="30"/>
    </row>
    <row r="348" spans="9:17">
      <c r="I348" s="13"/>
      <c r="J348" s="13"/>
      <c r="K348" s="13"/>
      <c r="L348" s="13"/>
      <c r="M348" s="13"/>
      <c r="N348" s="13"/>
      <c r="O348" s="30"/>
      <c r="P348" s="30"/>
      <c r="Q348" s="30"/>
    </row>
    <row r="349" spans="9:17">
      <c r="I349" s="13"/>
      <c r="J349" s="13"/>
      <c r="K349" s="13"/>
      <c r="L349" s="13"/>
      <c r="M349" s="13"/>
      <c r="N349" s="13"/>
      <c r="O349" s="30"/>
      <c r="P349" s="30"/>
      <c r="Q349" s="30"/>
    </row>
    <row r="350" spans="9:17">
      <c r="I350" s="13"/>
      <c r="J350" s="13"/>
      <c r="K350" s="13"/>
      <c r="L350" s="13"/>
      <c r="M350" s="13"/>
      <c r="N350" s="13"/>
      <c r="O350" s="30"/>
      <c r="P350" s="30"/>
      <c r="Q350" s="30"/>
    </row>
    <row r="351" spans="9:17">
      <c r="I351" s="13"/>
      <c r="J351" s="13"/>
      <c r="K351" s="13"/>
      <c r="L351" s="13"/>
      <c r="M351" s="13"/>
      <c r="N351" s="13"/>
      <c r="O351" s="30"/>
      <c r="P351" s="30"/>
      <c r="Q351" s="30"/>
    </row>
    <row r="352" spans="9:17">
      <c r="I352" s="13"/>
      <c r="J352" s="13"/>
      <c r="K352" s="13"/>
      <c r="L352" s="13"/>
      <c r="M352" s="13"/>
      <c r="N352" s="13"/>
      <c r="O352" s="30"/>
      <c r="P352" s="30"/>
      <c r="Q352" s="30"/>
    </row>
    <row r="353" spans="9:17">
      <c r="I353" s="13"/>
      <c r="J353" s="13"/>
      <c r="K353" s="13"/>
      <c r="L353" s="13"/>
      <c r="M353" s="13"/>
      <c r="N353" s="13"/>
      <c r="O353" s="30"/>
      <c r="P353" s="30"/>
      <c r="Q353" s="30"/>
    </row>
    <row r="354" spans="9:17">
      <c r="I354" s="13"/>
      <c r="J354" s="13"/>
      <c r="K354" s="13"/>
      <c r="L354" s="13"/>
      <c r="M354" s="13"/>
      <c r="N354" s="13"/>
      <c r="O354" s="30"/>
      <c r="P354" s="30"/>
      <c r="Q354" s="30"/>
    </row>
    <row r="355" spans="9:17">
      <c r="I355" s="13"/>
      <c r="J355" s="13"/>
      <c r="K355" s="13"/>
      <c r="L355" s="13"/>
      <c r="M355" s="13"/>
      <c r="N355" s="13"/>
      <c r="O355" s="30"/>
      <c r="P355" s="30"/>
      <c r="Q355" s="30"/>
    </row>
    <row r="356" spans="9:17">
      <c r="I356" s="13"/>
      <c r="J356" s="13"/>
      <c r="K356" s="13"/>
      <c r="L356" s="13"/>
      <c r="M356" s="13"/>
      <c r="N356" s="13"/>
      <c r="O356" s="30"/>
      <c r="P356" s="30"/>
      <c r="Q356" s="30"/>
    </row>
    <row r="357" spans="9:17">
      <c r="I357" s="13"/>
      <c r="J357" s="13"/>
      <c r="K357" s="13"/>
      <c r="L357" s="13"/>
      <c r="M357" s="13"/>
      <c r="N357" s="13"/>
      <c r="O357" s="30"/>
      <c r="P357" s="30"/>
      <c r="Q357" s="30"/>
    </row>
    <row r="358" spans="9:17">
      <c r="I358" s="13"/>
      <c r="J358" s="13"/>
      <c r="K358" s="13"/>
      <c r="L358" s="13"/>
      <c r="M358" s="13"/>
      <c r="N358" s="13"/>
      <c r="O358" s="30"/>
      <c r="P358" s="30"/>
      <c r="Q358" s="30"/>
    </row>
    <row r="359" spans="9:17">
      <c r="I359" s="13"/>
      <c r="J359" s="13"/>
      <c r="K359" s="13"/>
      <c r="L359" s="13"/>
      <c r="M359" s="13"/>
      <c r="N359" s="13"/>
      <c r="O359" s="30"/>
      <c r="P359" s="30"/>
      <c r="Q359" s="30"/>
    </row>
    <row r="360" spans="9:17">
      <c r="I360" s="13"/>
      <c r="J360" s="13"/>
      <c r="K360" s="13"/>
      <c r="L360" s="13"/>
      <c r="M360" s="13"/>
      <c r="N360" s="13"/>
      <c r="O360" s="30"/>
      <c r="P360" s="30"/>
      <c r="Q360" s="30"/>
    </row>
    <row r="361" spans="9:17">
      <c r="I361" s="13"/>
      <c r="J361" s="13"/>
      <c r="K361" s="13"/>
      <c r="L361" s="13"/>
      <c r="M361" s="13"/>
      <c r="N361" s="13"/>
      <c r="O361" s="30"/>
      <c r="P361" s="30"/>
      <c r="Q361" s="30"/>
    </row>
    <row r="362" spans="9:17">
      <c r="I362" s="13"/>
      <c r="J362" s="13"/>
      <c r="K362" s="13"/>
      <c r="L362" s="13"/>
      <c r="M362" s="13"/>
      <c r="N362" s="13"/>
      <c r="O362" s="30"/>
      <c r="P362" s="30"/>
      <c r="Q362" s="30"/>
    </row>
    <row r="363" spans="9:17">
      <c r="I363" s="13"/>
      <c r="J363" s="13"/>
      <c r="K363" s="13"/>
      <c r="L363" s="13"/>
      <c r="M363" s="13"/>
      <c r="N363" s="13"/>
      <c r="O363" s="30"/>
      <c r="P363" s="30"/>
      <c r="Q363" s="30"/>
    </row>
    <row r="364" spans="9:17">
      <c r="I364" s="13"/>
      <c r="J364" s="13"/>
      <c r="K364" s="13"/>
      <c r="L364" s="13"/>
      <c r="M364" s="13"/>
      <c r="N364" s="13"/>
      <c r="O364" s="30"/>
      <c r="P364" s="30"/>
      <c r="Q364" s="30"/>
    </row>
    <row r="365" spans="9:17">
      <c r="I365" s="13"/>
      <c r="J365" s="13"/>
      <c r="K365" s="13"/>
      <c r="L365" s="13"/>
      <c r="M365" s="13"/>
      <c r="N365" s="13"/>
      <c r="O365" s="30"/>
      <c r="P365" s="30"/>
      <c r="Q365" s="30"/>
    </row>
    <row r="366" spans="9:17">
      <c r="I366" s="13"/>
      <c r="J366" s="13"/>
      <c r="K366" s="13"/>
      <c r="L366" s="13"/>
      <c r="M366" s="13"/>
      <c r="N366" s="13"/>
      <c r="O366" s="30"/>
      <c r="P366" s="30"/>
      <c r="Q366" s="30"/>
    </row>
    <row r="367" spans="9:17">
      <c r="I367" s="13"/>
      <c r="J367" s="13"/>
      <c r="K367" s="13"/>
      <c r="L367" s="13"/>
      <c r="M367" s="13"/>
      <c r="N367" s="13"/>
      <c r="O367" s="30"/>
      <c r="P367" s="30"/>
      <c r="Q367" s="30"/>
    </row>
    <row r="368" spans="9:17">
      <c r="I368" s="13"/>
      <c r="J368" s="13"/>
      <c r="K368" s="13"/>
      <c r="L368" s="13"/>
      <c r="M368" s="13"/>
      <c r="N368" s="13"/>
      <c r="O368" s="30"/>
      <c r="P368" s="30"/>
      <c r="Q368" s="30"/>
    </row>
    <row r="369" spans="9:17">
      <c r="I369" s="13"/>
      <c r="J369" s="13"/>
      <c r="K369" s="13"/>
      <c r="L369" s="13"/>
      <c r="M369" s="13"/>
      <c r="N369" s="13"/>
      <c r="O369" s="30"/>
      <c r="P369" s="30"/>
      <c r="Q369" s="30"/>
    </row>
    <row r="370" spans="9:17">
      <c r="I370" s="13"/>
      <c r="J370" s="13"/>
      <c r="K370" s="13"/>
      <c r="L370" s="13"/>
      <c r="M370" s="13"/>
      <c r="N370" s="13"/>
      <c r="O370" s="30"/>
      <c r="P370" s="30"/>
      <c r="Q370" s="30"/>
    </row>
    <row r="371" spans="9:17">
      <c r="I371" s="13"/>
      <c r="J371" s="13"/>
      <c r="K371" s="13"/>
      <c r="L371" s="13"/>
      <c r="M371" s="13"/>
      <c r="N371" s="13"/>
      <c r="O371" s="30"/>
      <c r="P371" s="30"/>
      <c r="Q371" s="30"/>
    </row>
    <row r="372" spans="9:17">
      <c r="I372" s="13"/>
      <c r="J372" s="13"/>
      <c r="K372" s="13"/>
      <c r="L372" s="13"/>
      <c r="M372" s="13"/>
      <c r="N372" s="13"/>
      <c r="O372" s="30"/>
      <c r="P372" s="30"/>
      <c r="Q372" s="30"/>
    </row>
    <row r="373" spans="9:17">
      <c r="I373" s="13"/>
      <c r="J373" s="13"/>
      <c r="K373" s="13"/>
      <c r="L373" s="13"/>
      <c r="M373" s="13"/>
      <c r="N373" s="13"/>
      <c r="O373" s="30"/>
      <c r="P373" s="30"/>
      <c r="Q373" s="30"/>
    </row>
    <row r="374" spans="9:17">
      <c r="I374" s="13"/>
      <c r="J374" s="13"/>
      <c r="K374" s="13"/>
      <c r="L374" s="13"/>
      <c r="M374" s="13"/>
      <c r="N374" s="13"/>
      <c r="O374" s="30"/>
      <c r="P374" s="30"/>
      <c r="Q374" s="30"/>
    </row>
    <row r="375" spans="9:17">
      <c r="I375" s="13"/>
      <c r="J375" s="13"/>
      <c r="K375" s="13"/>
      <c r="L375" s="13"/>
      <c r="M375" s="13"/>
      <c r="N375" s="13"/>
      <c r="O375" s="30"/>
      <c r="P375" s="30"/>
      <c r="Q375" s="30"/>
    </row>
    <row r="376" spans="9:17">
      <c r="I376" s="13"/>
      <c r="J376" s="13"/>
      <c r="K376" s="13"/>
      <c r="L376" s="13"/>
      <c r="M376" s="13"/>
      <c r="N376" s="13"/>
      <c r="O376" s="30"/>
      <c r="P376" s="30"/>
      <c r="Q376" s="30"/>
    </row>
    <row r="377" spans="9:17">
      <c r="I377" s="13"/>
      <c r="J377" s="13"/>
      <c r="K377" s="13"/>
      <c r="L377" s="13"/>
      <c r="M377" s="13"/>
      <c r="N377" s="13"/>
      <c r="O377" s="30"/>
      <c r="P377" s="30"/>
      <c r="Q377" s="30"/>
    </row>
    <row r="378" spans="9:17">
      <c r="I378" s="13"/>
      <c r="J378" s="13"/>
      <c r="K378" s="13"/>
      <c r="L378" s="13"/>
      <c r="M378" s="13"/>
      <c r="N378" s="13"/>
      <c r="O378" s="30"/>
      <c r="P378" s="30"/>
      <c r="Q378" s="30"/>
    </row>
    <row r="379" spans="9:17">
      <c r="I379" s="13"/>
      <c r="J379" s="13"/>
      <c r="K379" s="13"/>
      <c r="L379" s="13"/>
      <c r="M379" s="13"/>
      <c r="N379" s="13"/>
      <c r="O379" s="30"/>
      <c r="P379" s="30"/>
      <c r="Q379" s="30"/>
    </row>
    <row r="380" spans="9:17">
      <c r="I380" s="13"/>
      <c r="J380" s="13"/>
      <c r="K380" s="13"/>
      <c r="L380" s="13"/>
      <c r="M380" s="13"/>
      <c r="N380" s="13"/>
      <c r="O380" s="30"/>
      <c r="P380" s="30"/>
      <c r="Q380" s="30"/>
    </row>
    <row r="381" spans="9:17">
      <c r="I381" s="13"/>
      <c r="J381" s="13"/>
      <c r="K381" s="13"/>
      <c r="L381" s="13"/>
      <c r="M381" s="13"/>
      <c r="N381" s="13"/>
      <c r="O381" s="30"/>
      <c r="P381" s="30"/>
      <c r="Q381" s="30"/>
    </row>
    <row r="382" spans="9:17">
      <c r="I382" s="13"/>
      <c r="J382" s="13"/>
      <c r="K382" s="13"/>
      <c r="L382" s="13"/>
      <c r="M382" s="13"/>
      <c r="N382" s="13"/>
      <c r="O382" s="30"/>
      <c r="P382" s="30"/>
      <c r="Q382" s="30"/>
    </row>
    <row r="383" spans="9:17">
      <c r="I383" s="13"/>
      <c r="J383" s="13"/>
      <c r="K383" s="13"/>
      <c r="L383" s="13"/>
      <c r="M383" s="13"/>
      <c r="N383" s="13"/>
      <c r="O383" s="30"/>
      <c r="P383" s="30"/>
      <c r="Q383" s="30"/>
    </row>
    <row r="384" spans="9:17">
      <c r="I384" s="13"/>
      <c r="J384" s="13"/>
      <c r="K384" s="13"/>
      <c r="L384" s="13"/>
      <c r="M384" s="13"/>
      <c r="N384" s="13"/>
      <c r="O384" s="30"/>
      <c r="P384" s="30"/>
      <c r="Q384" s="30"/>
    </row>
    <row r="385" spans="9:17">
      <c r="I385" s="13"/>
      <c r="J385" s="13"/>
      <c r="K385" s="13"/>
      <c r="L385" s="13"/>
      <c r="M385" s="13"/>
      <c r="N385" s="13"/>
      <c r="O385" s="30"/>
      <c r="P385" s="30"/>
      <c r="Q385" s="30"/>
    </row>
    <row r="386" spans="9:17">
      <c r="I386" s="13"/>
      <c r="J386" s="13"/>
      <c r="K386" s="13"/>
      <c r="L386" s="13"/>
      <c r="M386" s="13"/>
      <c r="N386" s="13"/>
      <c r="O386" s="30"/>
      <c r="P386" s="30"/>
      <c r="Q386" s="30"/>
    </row>
    <row r="387" spans="9:17">
      <c r="I387" s="13"/>
      <c r="J387" s="13"/>
      <c r="K387" s="13"/>
      <c r="L387" s="13"/>
      <c r="M387" s="13"/>
      <c r="N387" s="13"/>
      <c r="O387" s="30"/>
      <c r="P387" s="30"/>
      <c r="Q387" s="30"/>
    </row>
    <row r="388" spans="9:17">
      <c r="I388" s="13"/>
      <c r="J388" s="13"/>
      <c r="K388" s="13"/>
      <c r="L388" s="13"/>
      <c r="M388" s="13"/>
      <c r="N388" s="13"/>
      <c r="O388" s="30"/>
      <c r="P388" s="30"/>
      <c r="Q388" s="30"/>
    </row>
    <row r="389" spans="9:17">
      <c r="I389" s="13"/>
      <c r="J389" s="13"/>
      <c r="K389" s="13"/>
      <c r="L389" s="13"/>
      <c r="M389" s="13"/>
      <c r="N389" s="13"/>
      <c r="O389" s="30"/>
      <c r="P389" s="30"/>
      <c r="Q389" s="30"/>
    </row>
    <row r="390" spans="9:17">
      <c r="I390" s="13"/>
      <c r="J390" s="13"/>
      <c r="K390" s="13"/>
      <c r="L390" s="13"/>
      <c r="M390" s="13"/>
      <c r="N390" s="13"/>
      <c r="O390" s="30"/>
      <c r="P390" s="30"/>
      <c r="Q390" s="30"/>
    </row>
    <row r="391" spans="9:17">
      <c r="I391" s="13"/>
      <c r="J391" s="13"/>
      <c r="K391" s="13"/>
      <c r="L391" s="13"/>
      <c r="M391" s="13"/>
      <c r="N391" s="13"/>
      <c r="O391" s="30"/>
      <c r="P391" s="30"/>
      <c r="Q391" s="30"/>
    </row>
    <row r="392" spans="9:17">
      <c r="I392" s="13"/>
      <c r="J392" s="13"/>
      <c r="K392" s="13"/>
      <c r="L392" s="13"/>
      <c r="M392" s="13"/>
      <c r="N392" s="13"/>
      <c r="O392" s="30"/>
      <c r="P392" s="30"/>
      <c r="Q392" s="30"/>
    </row>
    <row r="393" spans="9:17">
      <c r="I393" s="13"/>
      <c r="J393" s="13"/>
      <c r="K393" s="13"/>
      <c r="L393" s="13"/>
      <c r="M393" s="13"/>
      <c r="N393" s="13"/>
      <c r="O393" s="30"/>
      <c r="P393" s="30"/>
      <c r="Q393" s="30"/>
    </row>
    <row r="394" spans="9:17">
      <c r="I394" s="13"/>
      <c r="J394" s="13"/>
      <c r="K394" s="13"/>
      <c r="L394" s="13"/>
      <c r="M394" s="13"/>
      <c r="N394" s="13"/>
      <c r="O394" s="30"/>
      <c r="P394" s="30"/>
      <c r="Q394" s="30"/>
    </row>
    <row r="395" spans="9:17">
      <c r="I395" s="13"/>
      <c r="J395" s="13"/>
      <c r="K395" s="13"/>
      <c r="L395" s="13"/>
      <c r="M395" s="13"/>
      <c r="N395" s="13"/>
      <c r="O395" s="30"/>
      <c r="P395" s="30"/>
      <c r="Q395" s="30"/>
    </row>
    <row r="396" spans="9:17">
      <c r="I396" s="13"/>
      <c r="J396" s="13"/>
      <c r="K396" s="13"/>
      <c r="L396" s="13"/>
      <c r="M396" s="13"/>
      <c r="N396" s="13"/>
      <c r="O396" s="30"/>
      <c r="P396" s="30"/>
      <c r="Q396" s="30"/>
    </row>
    <row r="397" spans="9:17">
      <c r="I397" s="13"/>
      <c r="J397" s="13"/>
      <c r="K397" s="13"/>
      <c r="L397" s="13"/>
      <c r="M397" s="13"/>
      <c r="N397" s="13"/>
      <c r="O397" s="30"/>
      <c r="P397" s="30"/>
      <c r="Q397" s="30"/>
    </row>
    <row r="398" spans="9:17">
      <c r="I398" s="13"/>
      <c r="J398" s="13"/>
      <c r="K398" s="13"/>
      <c r="L398" s="13"/>
      <c r="M398" s="13"/>
      <c r="N398" s="13"/>
      <c r="O398" s="30"/>
      <c r="P398" s="30"/>
      <c r="Q398" s="30"/>
    </row>
    <row r="399" spans="9:17">
      <c r="I399" s="13"/>
      <c r="J399" s="13"/>
      <c r="K399" s="13"/>
      <c r="L399" s="13"/>
      <c r="M399" s="13"/>
      <c r="N399" s="13"/>
      <c r="O399" s="30"/>
      <c r="P399" s="30"/>
      <c r="Q399" s="30"/>
    </row>
    <row r="400" spans="9:17">
      <c r="I400" s="13"/>
      <c r="J400" s="13"/>
      <c r="K400" s="13"/>
      <c r="L400" s="13"/>
      <c r="M400" s="13"/>
      <c r="N400" s="13"/>
      <c r="O400" s="30"/>
      <c r="P400" s="30"/>
      <c r="Q400" s="30"/>
    </row>
    <row r="401" spans="9:17">
      <c r="I401" s="13"/>
      <c r="J401" s="13"/>
      <c r="K401" s="13"/>
      <c r="L401" s="13"/>
      <c r="M401" s="13"/>
      <c r="N401" s="13"/>
      <c r="O401" s="30"/>
      <c r="P401" s="30"/>
      <c r="Q401" s="30"/>
    </row>
    <row r="402" spans="9:17">
      <c r="I402" s="13"/>
      <c r="J402" s="13"/>
      <c r="K402" s="13"/>
      <c r="L402" s="13"/>
      <c r="M402" s="13"/>
      <c r="N402" s="13"/>
      <c r="O402" s="30"/>
      <c r="P402" s="30"/>
      <c r="Q402" s="30"/>
    </row>
    <row r="403" spans="9:17">
      <c r="I403" s="13"/>
      <c r="J403" s="13"/>
      <c r="K403" s="13"/>
      <c r="L403" s="13"/>
      <c r="M403" s="13"/>
      <c r="N403" s="13"/>
      <c r="O403" s="30"/>
      <c r="P403" s="30"/>
      <c r="Q403" s="30"/>
    </row>
    <row r="404" spans="9:17">
      <c r="I404" s="13"/>
      <c r="J404" s="13"/>
      <c r="K404" s="13"/>
      <c r="L404" s="13"/>
      <c r="M404" s="13"/>
      <c r="N404" s="13"/>
      <c r="O404" s="30"/>
      <c r="P404" s="30"/>
      <c r="Q404" s="30"/>
    </row>
    <row r="405" spans="9:17">
      <c r="I405" s="13"/>
      <c r="J405" s="13"/>
      <c r="K405" s="13"/>
      <c r="L405" s="13"/>
      <c r="M405" s="13"/>
      <c r="N405" s="13"/>
      <c r="O405" s="30"/>
      <c r="P405" s="30"/>
      <c r="Q405" s="30"/>
    </row>
    <row r="406" spans="9:17">
      <c r="I406" s="13"/>
      <c r="J406" s="13"/>
      <c r="K406" s="13"/>
      <c r="L406" s="13"/>
      <c r="M406" s="13"/>
      <c r="N406" s="13"/>
      <c r="O406" s="30"/>
      <c r="P406" s="30"/>
      <c r="Q406" s="30"/>
    </row>
    <row r="407" spans="9:17">
      <c r="I407" s="13"/>
      <c r="J407" s="13"/>
      <c r="K407" s="13"/>
      <c r="L407" s="13"/>
      <c r="M407" s="13"/>
      <c r="N407" s="13"/>
      <c r="O407" s="30"/>
      <c r="P407" s="30"/>
      <c r="Q407" s="30"/>
    </row>
    <row r="408" spans="9:17">
      <c r="I408" s="13"/>
      <c r="J408" s="13"/>
      <c r="K408" s="13"/>
      <c r="L408" s="13"/>
      <c r="M408" s="13"/>
      <c r="N408" s="13"/>
      <c r="O408" s="30"/>
      <c r="P408" s="30"/>
      <c r="Q408" s="30"/>
    </row>
    <row r="409" spans="9:17">
      <c r="I409" s="13"/>
      <c r="J409" s="13"/>
      <c r="K409" s="13"/>
      <c r="L409" s="13"/>
      <c r="M409" s="13"/>
      <c r="N409" s="13"/>
      <c r="O409" s="30"/>
      <c r="P409" s="30"/>
      <c r="Q409" s="30"/>
    </row>
    <row r="410" spans="9:17">
      <c r="I410" s="13"/>
      <c r="J410" s="13"/>
      <c r="K410" s="13"/>
      <c r="L410" s="13"/>
      <c r="M410" s="13"/>
      <c r="N410" s="13"/>
      <c r="O410" s="30"/>
      <c r="P410" s="30"/>
      <c r="Q410" s="30"/>
    </row>
    <row r="411" spans="9:17">
      <c r="I411" s="13"/>
      <c r="J411" s="13"/>
      <c r="K411" s="13"/>
      <c r="L411" s="13"/>
      <c r="M411" s="13"/>
      <c r="N411" s="13"/>
      <c r="O411" s="30"/>
      <c r="P411" s="30"/>
      <c r="Q411" s="30"/>
    </row>
    <row r="412" spans="9:17">
      <c r="I412" s="13"/>
      <c r="J412" s="13"/>
      <c r="K412" s="13"/>
      <c r="L412" s="13"/>
      <c r="M412" s="13"/>
      <c r="N412" s="13"/>
      <c r="O412" s="30"/>
      <c r="P412" s="30"/>
      <c r="Q412" s="30"/>
    </row>
    <row r="413" spans="9:17">
      <c r="I413" s="13"/>
      <c r="J413" s="13"/>
      <c r="K413" s="13"/>
      <c r="L413" s="13"/>
      <c r="M413" s="13"/>
      <c r="N413" s="13"/>
      <c r="O413" s="30"/>
      <c r="P413" s="30"/>
      <c r="Q413" s="30"/>
    </row>
    <row r="414" spans="9:17">
      <c r="I414" s="13"/>
      <c r="J414" s="13"/>
      <c r="K414" s="13"/>
      <c r="L414" s="13"/>
      <c r="M414" s="13"/>
      <c r="N414" s="13"/>
      <c r="O414" s="30"/>
      <c r="P414" s="30"/>
      <c r="Q414" s="30"/>
    </row>
    <row r="415" spans="9:17">
      <c r="I415" s="13"/>
      <c r="J415" s="13"/>
      <c r="K415" s="13"/>
      <c r="L415" s="13"/>
      <c r="M415" s="13"/>
      <c r="N415" s="13"/>
      <c r="O415" s="30"/>
      <c r="P415" s="30"/>
      <c r="Q415" s="30"/>
    </row>
    <row r="416" spans="9:17">
      <c r="I416" s="13"/>
      <c r="J416" s="13"/>
      <c r="K416" s="13"/>
      <c r="L416" s="13"/>
      <c r="M416" s="13"/>
      <c r="N416" s="13"/>
      <c r="O416" s="30"/>
      <c r="P416" s="30"/>
      <c r="Q416" s="30"/>
    </row>
    <row r="417" spans="9:17">
      <c r="I417" s="13"/>
      <c r="J417" s="13"/>
      <c r="K417" s="13"/>
      <c r="L417" s="13"/>
      <c r="M417" s="13"/>
      <c r="N417" s="13"/>
      <c r="O417" s="30"/>
      <c r="P417" s="30"/>
      <c r="Q417" s="30"/>
    </row>
    <row r="418" spans="9:17">
      <c r="I418" s="13"/>
      <c r="J418" s="13"/>
      <c r="K418" s="13"/>
      <c r="L418" s="13"/>
      <c r="M418" s="13"/>
      <c r="N418" s="13"/>
      <c r="O418" s="30"/>
      <c r="P418" s="30"/>
      <c r="Q418" s="30"/>
    </row>
    <row r="419" spans="9:17">
      <c r="I419" s="13"/>
      <c r="J419" s="13"/>
      <c r="K419" s="13"/>
      <c r="L419" s="13"/>
      <c r="M419" s="13"/>
      <c r="N419" s="13"/>
      <c r="O419" s="30"/>
      <c r="P419" s="30"/>
      <c r="Q419" s="30"/>
    </row>
  </sheetData>
  <mergeCells count="1">
    <mergeCell ref="A1:N1"/>
  </mergeCells>
  <conditionalFormatting sqref="H2:I26 J2:L2 J26:L26 I29:Q419 H29:I1048576 N28:Q28">
    <cfRule type="cellIs" dxfId="37" priority="6" operator="equal">
      <formula>"High"</formula>
    </cfRule>
    <cfRule type="cellIs" dxfId="36" priority="7" operator="equal">
      <formula>"Medium"</formula>
    </cfRule>
  </conditionalFormatting>
  <conditionalFormatting sqref="N3:N25">
    <cfRule type="expression" dxfId="35" priority="4">
      <formula>N3&lt;&gt;F3</formula>
    </cfRule>
  </conditionalFormatting>
  <conditionalFormatting sqref="M29:M1048576 M2:N25">
    <cfRule type="dataBar" priority="15">
      <dataBar>
        <cfvo type="min"/>
        <cfvo type="max"/>
        <color rgb="FFEA6962"/>
      </dataBar>
      <extLst>
        <ext xmlns:x14="http://schemas.microsoft.com/office/spreadsheetml/2009/9/main" uri="{B025F937-C7B1-47D3-B67F-A62EFF666E3E}">
          <x14:id>{6714A1FD-1CEC-4C3E-9D48-1F9C428CBBDB}</x14:id>
        </ext>
      </extLst>
    </cfRule>
  </conditionalFormatting>
  <conditionalFormatting sqref="A27:M28">
    <cfRule type="cellIs" dxfId="34" priority="2" operator="equal">
      <formula>"High"</formula>
    </cfRule>
    <cfRule type="cellIs" dxfId="33" priority="3" operator="equal">
      <formula>"Medium"</formula>
    </cfRule>
  </conditionalFormatting>
  <conditionalFormatting sqref="A3:D25">
    <cfRule type="expression" dxfId="32" priority="1">
      <formula>COUNTBLANK($F3:$G3)=2</formula>
    </cfRule>
  </conditionalFormatting>
  <dataValidations count="5">
    <dataValidation type="list" allowBlank="1" showInputMessage="1" showErrorMessage="1" sqref="H3:H25" xr:uid="{A626C1CD-4651-4A5E-A62E-E2E5BBB90391}">
      <formula1>BusinessUncertainty</formula1>
    </dataValidation>
    <dataValidation type="list" allowBlank="1" showInputMessage="1" showErrorMessage="1" sqref="I3:I25" xr:uid="{2A44D7F7-4793-4B82-99BA-DED07B352589}">
      <formula1>TechnicalComplexity</formula1>
    </dataValidation>
    <dataValidation type="list" allowBlank="1" showInputMessage="1" showErrorMessage="1" sqref="F3:F25" xr:uid="{0E0F0A85-6FB0-4863-BFFE-7DA6F905445F}">
      <formula1>val_TShirt</formula1>
    </dataValidation>
    <dataValidation type="list" allowBlank="1" showInputMessage="1" showErrorMessage="1" sqref="G3:G25" xr:uid="{9834227F-06AB-469C-A318-5E0B17FEBEA8}">
      <formula1>val_SP</formula1>
    </dataValidation>
    <dataValidation type="list" allowBlank="1" showInputMessage="1" showErrorMessage="1" sqref="E3:E25" xr:uid="{555D4B3D-66DE-4BFC-8ABB-50761C24303C}">
      <formula1>val_phases</formula1>
    </dataValidation>
  </dataValidations>
  <printOptions horizontalCentered="1" verticalCentered="1"/>
  <pageMargins left="0.25" right="0.25" top="0.25" bottom="0.5" header="0.5" footer="0.25"/>
  <pageSetup orientation="landscape" r:id="rId1"/>
  <headerFooter>
    <oddFooter>&amp;R&amp;P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714A1FD-1CEC-4C3E-9D48-1F9C428CBBDB}">
            <x14:dataBar minLength="0" maxLength="100" border="1" negativeBarBorderColorSameAsPositive="0">
              <x14:cfvo type="autoMin"/>
              <x14:cfvo type="autoMax"/>
              <x14:borderColor rgb="FFEA6962"/>
              <x14:negativeFillColor rgb="FFFF0000"/>
              <x14:negativeBorderColor rgb="FFFF0000"/>
              <x14:axisColor rgb="FF000000"/>
            </x14:dataBar>
          </x14:cfRule>
          <xm:sqref>M29:M1048576 M2:N25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25893-A9A8-4F52-9FD0-29090DE8EA48}">
  <sheetPr>
    <tabColor rgb="FF0070C0"/>
  </sheetPr>
  <dimension ref="B2:S12"/>
  <sheetViews>
    <sheetView topLeftCell="A2" workbookViewId="0">
      <selection activeCell="W32" sqref="W32"/>
    </sheetView>
  </sheetViews>
  <sheetFormatPr defaultColWidth="8.85546875" defaultRowHeight="14.25"/>
  <cols>
    <col min="1" max="1" width="8.85546875" style="15"/>
    <col min="2" max="2" width="8" style="15" customWidth="1"/>
    <col min="3" max="7" width="8.85546875" style="15"/>
    <col min="8" max="8" width="12.42578125" style="15" customWidth="1"/>
    <col min="9" max="13" width="8.85546875" style="15"/>
    <col min="14" max="14" width="12" style="15" customWidth="1"/>
    <col min="15" max="19" width="8.85546875" style="15"/>
    <col min="20" max="20" width="8.85546875" style="15" customWidth="1"/>
    <col min="21" max="16384" width="8.85546875" style="15"/>
  </cols>
  <sheetData>
    <row r="2" spans="2:19">
      <c r="B2" s="15" t="s">
        <v>151</v>
      </c>
      <c r="C2" s="125" t="s">
        <v>16</v>
      </c>
    </row>
    <row r="3" spans="2:19" ht="15" thickBot="1">
      <c r="C3" s="125"/>
    </row>
    <row r="4" spans="2:19" ht="15.75">
      <c r="B4" s="158" t="s">
        <v>150</v>
      </c>
      <c r="C4" s="159"/>
      <c r="D4" s="159"/>
      <c r="E4" s="159"/>
      <c r="F4" s="159"/>
      <c r="G4" s="160"/>
      <c r="I4" s="158" t="s">
        <v>49</v>
      </c>
      <c r="J4" s="159"/>
      <c r="K4" s="159"/>
      <c r="L4" s="159"/>
      <c r="M4" s="159"/>
      <c r="O4" s="158" t="s">
        <v>50</v>
      </c>
      <c r="P4" s="159"/>
      <c r="Q4" s="159"/>
      <c r="R4" s="159"/>
      <c r="S4" s="159"/>
    </row>
    <row r="5" spans="2:19" ht="47.25">
      <c r="B5" s="34" t="s">
        <v>52</v>
      </c>
      <c r="C5" s="123" t="s">
        <v>53</v>
      </c>
      <c r="D5" s="122" t="s">
        <v>54</v>
      </c>
      <c r="E5" s="122" t="s">
        <v>55</v>
      </c>
      <c r="F5" s="122" t="s">
        <v>56</v>
      </c>
      <c r="G5" s="121" t="s">
        <v>57</v>
      </c>
      <c r="I5" s="34" t="s">
        <v>52</v>
      </c>
      <c r="J5" s="123" t="s">
        <v>53</v>
      </c>
      <c r="K5" s="122" t="s">
        <v>55</v>
      </c>
      <c r="L5" s="122" t="s">
        <v>56</v>
      </c>
      <c r="M5" s="121" t="s">
        <v>57</v>
      </c>
      <c r="O5" s="124" t="s">
        <v>52</v>
      </c>
      <c r="P5" s="123" t="s">
        <v>53</v>
      </c>
      <c r="Q5" s="122" t="s">
        <v>55</v>
      </c>
      <c r="R5" s="122" t="s">
        <v>56</v>
      </c>
      <c r="S5" s="121" t="s">
        <v>57</v>
      </c>
    </row>
    <row r="6" spans="2:19" ht="15.75">
      <c r="B6" s="119" t="s">
        <v>17</v>
      </c>
      <c r="C6" s="68">
        <f t="shared" ref="C6:C11" si="0">SUM(E6:G6)/SUM($E$12:$G$12)</f>
        <v>0</v>
      </c>
      <c r="D6" s="120" cm="1">
        <f t="array" ref="D6">SUMPRODUCT((Table1[Tshirt Sizing]=B6)*IF($C$2="(All)",1,(Table1[Phase]=$C$2)))</f>
        <v>0</v>
      </c>
      <c r="E6" s="70" cm="1">
        <f t="array" ref="E6">SUMPRODUCT((Table1[Tshirt Sizing]=B6)*IF($C$2="(All)",1,(Table1[Phase]=$C$2))*Table1[BEST CASE])</f>
        <v>0</v>
      </c>
      <c r="F6" s="70" cm="1">
        <f t="array" ref="F6">SUMPRODUCT((Table1[Tshirt Sizing]=B6)*IF($C$2="(All)",1,(Table1[Phase]=$C$2))*Table1[MOST LIKELY])</f>
        <v>0</v>
      </c>
      <c r="G6" s="71" cm="1">
        <f t="array" ref="G6">SUMPRODUCT((Table1[Tshirt Sizing]=B6)*IF($C$2="(All)",1,(Table1[Phase]=$C$2))*Table1[WORST CASE])</f>
        <v>0</v>
      </c>
      <c r="I6" s="119" t="s">
        <v>18</v>
      </c>
      <c r="J6" s="68">
        <f>SUM(K6:M6)/SUM($K$9:$M$9)</f>
        <v>1</v>
      </c>
      <c r="K6" s="70" cm="1">
        <f t="array" ref="K6">SUMPRODUCT((Table1[Business Uncertainty]=I6)*IF($C$2="(All)",1,(Table1[Phase]=$C$2))*Table1[BEST CASE])</f>
        <v>22</v>
      </c>
      <c r="L6" s="70" cm="1">
        <f t="array" ref="L6">SUMPRODUCT((Table1[Business Uncertainty]=I6)*IF($C$2="(All)",1,(Table1[Phase]=$C$2))*Table1[MOST LIKELY])</f>
        <v>24</v>
      </c>
      <c r="M6" s="71" cm="1">
        <f t="array" ref="M6">SUMPRODUCT((Table1[Business Uncertainty]=I6)*IF($C$2="(All)",1,(Table1[Phase]=$C$2))*Table1[WORST CASE])</f>
        <v>26</v>
      </c>
      <c r="O6" s="119" t="s">
        <v>18</v>
      </c>
      <c r="P6" s="68">
        <f>SUM(Q6:S6)/SUM($Q$9:$S$9)</f>
        <v>0.33333333333333331</v>
      </c>
      <c r="Q6" s="70" cm="1">
        <f t="array" ref="Q6">SUMPRODUCT((Table1[Technical Complexity]=O6)*IF($C$2="(All)",1,(Table1[Phase]=$C$2))*Table1[BEST CASE])</f>
        <v>8</v>
      </c>
      <c r="R6" s="70" cm="1">
        <f t="array" ref="R6">SUMPRODUCT((Table1[Technical Complexity]=O6)*IF($C$2="(All)",1,(Table1[Phase]=$C$2))*Table1[MOST LIKELY])</f>
        <v>8</v>
      </c>
      <c r="S6" s="71" cm="1">
        <f t="array" ref="S6">SUMPRODUCT((Table1[Technical Complexity]=O6)*IF($C$2="(All)",1,(Table1[Phase]=$C$2))*Table1[WORST CASE])</f>
        <v>8</v>
      </c>
    </row>
    <row r="7" spans="2:19" ht="15.75">
      <c r="B7" s="116" t="s">
        <v>20</v>
      </c>
      <c r="C7" s="69">
        <f t="shared" si="0"/>
        <v>0.33333333333333331</v>
      </c>
      <c r="D7" s="115" cm="1">
        <f t="array" ref="D7">SUMPRODUCT((Table1[Tshirt Sizing]=B7)*IF($C$2="(All)",1,(Table1[Phase]=$C$2)))</f>
        <v>2</v>
      </c>
      <c r="E7" s="114" cm="1">
        <f t="array" ref="E7">SUMPRODUCT((Table1[Tshirt Sizing]=B7)*IF($C$2="(All)",1,(Table1[Phase]=$C$2))*Table1[BEST CASE])</f>
        <v>7.6</v>
      </c>
      <c r="F7" s="114" cm="1">
        <f t="array" ref="F7">SUMPRODUCT((Table1[Tshirt Sizing]=B7)*IF($C$2="(All)",1,(Table1[Phase]=$C$2))*Table1[MOST LIKELY])</f>
        <v>8</v>
      </c>
      <c r="G7" s="72" cm="1">
        <f t="array" ref="G7">SUMPRODUCT((Table1[Tshirt Sizing]=B7)*IF($C$2="(All)",1,(Table1[Phase]=$C$2))*Table1[WORST CASE])</f>
        <v>8.4</v>
      </c>
      <c r="I7" s="116" t="s">
        <v>19</v>
      </c>
      <c r="J7" s="69">
        <f>SUM(K7:M7)/SUM($K$9:$M$9)</f>
        <v>0</v>
      </c>
      <c r="K7" s="114" cm="1">
        <f t="array" ref="K7">SUMPRODUCT((Table1[Business Uncertainty]=I7)*IF($C$2="(All)",1,(Table1[Phase]=$C$2))*Table1[BEST CASE])</f>
        <v>0</v>
      </c>
      <c r="L7" s="114" cm="1">
        <f t="array" ref="L7">SUMPRODUCT((Table1[Business Uncertainty]=I7)*IF($C$2="(All)",1,(Table1[Phase]=$C$2))*Table1[MOST LIKELY])</f>
        <v>0</v>
      </c>
      <c r="M7" s="72" cm="1">
        <f t="array" ref="M7">SUMPRODUCT((Table1[Business Uncertainty]=I7)*IF($C$2="(All)",1,(Table1[Phase]=$C$2))*Table1[WORST CASE])</f>
        <v>0</v>
      </c>
      <c r="O7" s="116" t="s">
        <v>19</v>
      </c>
      <c r="P7" s="69">
        <f>SUM(Q7:S7)/SUM($Q$9:$S$9)</f>
        <v>0.33333333333333331</v>
      </c>
      <c r="Q7" s="114" cm="1">
        <f t="array" ref="Q7">SUMPRODUCT((Table1[Technical Complexity]=O7)*IF($C$2="(All)",1,(Table1[Phase]=$C$2))*Table1[BEST CASE])</f>
        <v>7.6</v>
      </c>
      <c r="R7" s="114" cm="1">
        <f t="array" ref="R7">SUMPRODUCT((Table1[Technical Complexity]=O7)*IF($C$2="(All)",1,(Table1[Phase]=$C$2))*Table1[MOST LIKELY])</f>
        <v>8</v>
      </c>
      <c r="S7" s="72" cm="1">
        <f t="array" ref="S7">SUMPRODUCT((Table1[Technical Complexity]=O7)*IF($C$2="(All)",1,(Table1[Phase]=$C$2))*Table1[WORST CASE])</f>
        <v>8.4</v>
      </c>
    </row>
    <row r="8" spans="2:19" ht="15.75">
      <c r="B8" s="116" t="s">
        <v>22</v>
      </c>
      <c r="C8" s="69">
        <f t="shared" si="0"/>
        <v>0.66666666666666663</v>
      </c>
      <c r="D8" s="115" cm="1">
        <f t="array" ref="D8">SUMPRODUCT((Table1[Tshirt Sizing]=B8)*IF($C$2="(All)",1,(Table1[Phase]=$C$2)))</f>
        <v>2</v>
      </c>
      <c r="E8" s="114" cm="1">
        <f t="array" ref="E8">SUMPRODUCT((Table1[Tshirt Sizing]=B8)*IF($C$2="(All)",1,(Table1[Phase]=$C$2))*Table1[BEST CASE])</f>
        <v>14.4</v>
      </c>
      <c r="F8" s="114" cm="1">
        <f t="array" ref="F8">SUMPRODUCT((Table1[Tshirt Sizing]=B8)*IF($C$2="(All)",1,(Table1[Phase]=$C$2))*Table1[MOST LIKELY])</f>
        <v>16</v>
      </c>
      <c r="G8" s="72" cm="1">
        <f t="array" ref="G8">SUMPRODUCT((Table1[Tshirt Sizing]=B8)*IF($C$2="(All)",1,(Table1[Phase]=$C$2))*Table1[WORST CASE])</f>
        <v>17.600000000000001</v>
      </c>
      <c r="I8" s="113" t="s">
        <v>26</v>
      </c>
      <c r="J8" s="112">
        <f>SUM(K8:M8)/SUM($K$9:$M$9)</f>
        <v>0</v>
      </c>
      <c r="K8" s="110" cm="1">
        <f t="array" ref="K8">SUMPRODUCT((Table1[Business Uncertainty]=I8)*IF($C$2="(All)",1,(Table1[Phase]=$C$2))*Table1[BEST CASE])</f>
        <v>0</v>
      </c>
      <c r="L8" s="110" cm="1">
        <f t="array" ref="L8">SUMPRODUCT((Table1[Business Uncertainty]=I8)*IF($C$2="(All)",1,(Table1[Phase]=$C$2))*Table1[MOST LIKELY])</f>
        <v>0</v>
      </c>
      <c r="M8" s="109" cm="1">
        <f t="array" ref="M8">SUMPRODUCT((Table1[Business Uncertainty]=I8)*IF($C$2="(All)",1,(Table1[Phase]=$C$2))*Table1[WORST CASE])</f>
        <v>0</v>
      </c>
      <c r="O8" s="113" t="s">
        <v>26</v>
      </c>
      <c r="P8" s="112">
        <f>SUM(Q8:S8)/SUM($Q$9:$S$9)</f>
        <v>0.33333333333333331</v>
      </c>
      <c r="Q8" s="110" cm="1">
        <f t="array" ref="Q8">SUMPRODUCT((Table1[Technical Complexity]=O8)*IF($C$2="(All)",1,(Table1[Phase]=$C$2))*Table1[BEST CASE])</f>
        <v>6.4</v>
      </c>
      <c r="R8" s="110" cm="1">
        <f t="array" ref="R8">SUMPRODUCT((Table1[Technical Complexity]=O8)*IF($C$2="(All)",1,(Table1[Phase]=$C$2))*Table1[MOST LIKELY])</f>
        <v>8</v>
      </c>
      <c r="S8" s="109" cm="1">
        <f t="array" ref="S8">SUMPRODUCT((Table1[Technical Complexity]=O8)*IF($C$2="(All)",1,(Table1[Phase]=$C$2))*Table1[WORST CASE])</f>
        <v>9.6</v>
      </c>
    </row>
    <row r="9" spans="2:19" ht="15.75">
      <c r="B9" s="116" t="s">
        <v>36</v>
      </c>
      <c r="C9" s="69">
        <f t="shared" si="0"/>
        <v>0</v>
      </c>
      <c r="D9" s="115" cm="1">
        <f t="array" ref="D9">SUMPRODUCT((Table1[Tshirt Sizing]=B9)*IF($C$2="(All)",1,(Table1[Phase]=$C$2)))</f>
        <v>0</v>
      </c>
      <c r="E9" s="114" cm="1">
        <f t="array" ref="E9">SUMPRODUCT((Table1[Tshirt Sizing]=B9)*IF($C$2="(All)",1,(Table1[Phase]=$C$2))*Table1[BEST CASE])</f>
        <v>0</v>
      </c>
      <c r="F9" s="114" cm="1">
        <f t="array" ref="F9">SUMPRODUCT((Table1[Tshirt Sizing]=B9)*IF($C$2="(All)",1,(Table1[Phase]=$C$2))*Table1[MOST LIKELY])</f>
        <v>0</v>
      </c>
      <c r="G9" s="72" cm="1">
        <f t="array" ref="G9">SUMPRODUCT((Table1[Tshirt Sizing]=B9)*IF($C$2="(All)",1,(Table1[Phase]=$C$2))*Table1[WORST CASE])</f>
        <v>0</v>
      </c>
      <c r="I9" s="108" t="s">
        <v>48</v>
      </c>
      <c r="J9" s="107">
        <f>SUM(J6:J8)</f>
        <v>1</v>
      </c>
      <c r="K9" s="118">
        <f>SUM(K6:K8)</f>
        <v>22</v>
      </c>
      <c r="L9" s="118">
        <f>SUM(L6:L8)</f>
        <v>24</v>
      </c>
      <c r="M9" s="118">
        <f>SUM(M6:M8)</f>
        <v>26</v>
      </c>
      <c r="O9" s="117" t="s">
        <v>48</v>
      </c>
      <c r="P9" s="107">
        <f>SUM(P6:P8)</f>
        <v>1</v>
      </c>
      <c r="Q9" s="105">
        <f>SUM(Q6:Q8)</f>
        <v>22</v>
      </c>
      <c r="R9" s="105">
        <f>SUM(R6:R8)</f>
        <v>24</v>
      </c>
      <c r="S9" s="105">
        <f>SUM(S6:S8)</f>
        <v>26</v>
      </c>
    </row>
    <row r="10" spans="2:19" ht="15.75">
      <c r="B10" s="116" t="s">
        <v>41</v>
      </c>
      <c r="C10" s="69">
        <f t="shared" si="0"/>
        <v>0</v>
      </c>
      <c r="D10" s="115" cm="1">
        <f t="array" ref="D10">SUMPRODUCT((Table1[Tshirt Sizing]=B10)*IF($C$2="(All)",1,(Table1[Phase]=$C$2)))</f>
        <v>0</v>
      </c>
      <c r="E10" s="114" cm="1">
        <f t="array" ref="E10">SUMPRODUCT((Table1[Tshirt Sizing]=B10)*IF($C$2="(All)",1,(Table1[Phase]=$C$2))*Table1[BEST CASE])</f>
        <v>0</v>
      </c>
      <c r="F10" s="114" cm="1">
        <f t="array" ref="F10">SUMPRODUCT((Table1[Tshirt Sizing]=B10)*IF($C$2="(All)",1,(Table1[Phase]=$C$2))*Table1[MOST LIKELY])</f>
        <v>0</v>
      </c>
      <c r="G10" s="72" cm="1">
        <f t="array" ref="G10">SUMPRODUCT((Table1[Tshirt Sizing]=B10)*IF($C$2="(All)",1,(Table1[Phase]=$C$2))*Table1[WORST CASE])</f>
        <v>0</v>
      </c>
    </row>
    <row r="11" spans="2:19" ht="15.75">
      <c r="B11" s="113" t="s">
        <v>47</v>
      </c>
      <c r="C11" s="112">
        <f t="shared" si="0"/>
        <v>0</v>
      </c>
      <c r="D11" s="111" cm="1">
        <f t="array" ref="D11">SUMPRODUCT((Table1[Tshirt Sizing]=B11)*IF($C$2="(All)",1,(Table1[Phase]=$C$2)))</f>
        <v>0</v>
      </c>
      <c r="E11" s="110" cm="1">
        <f t="array" ref="E11">SUMPRODUCT((Table1[Tshirt Sizing]=B11)*IF($C$2="(All)",1,(Table1[Phase]=$C$2))*Table1[BEST CASE])</f>
        <v>0</v>
      </c>
      <c r="F11" s="110" cm="1">
        <f t="array" ref="F11">SUMPRODUCT((Table1[Tshirt Sizing]=B11)*IF($C$2="(All)",1,(Table1[Phase]=$C$2))*Table1[MOST LIKELY])</f>
        <v>0</v>
      </c>
      <c r="G11" s="109" cm="1">
        <f t="array" ref="G11">SUMPRODUCT((Table1[Tshirt Sizing]=B11)*IF($C$2="(All)",1,(Table1[Phase]=$C$2))*Table1[WORST CASE])</f>
        <v>0</v>
      </c>
    </row>
    <row r="12" spans="2:19" ht="15.75">
      <c r="B12" s="108" t="s">
        <v>48</v>
      </c>
      <c r="C12" s="107">
        <f>SUM(C6:C11)</f>
        <v>1</v>
      </c>
      <c r="D12" s="106">
        <f>SUM(D6:D11)</f>
        <v>4</v>
      </c>
      <c r="E12" s="105">
        <f>SUM(E6:E11)</f>
        <v>22</v>
      </c>
      <c r="F12" s="104">
        <f>SUM(F6:F11)</f>
        <v>24</v>
      </c>
      <c r="G12" s="103">
        <f>SUM(G6:G11)</f>
        <v>26</v>
      </c>
    </row>
  </sheetData>
  <mergeCells count="3">
    <mergeCell ref="B4:G4"/>
    <mergeCell ref="I4:M4"/>
    <mergeCell ref="O4:S4"/>
  </mergeCells>
  <dataValidations count="1">
    <dataValidation type="list" allowBlank="1" showInputMessage="1" showErrorMessage="1" sqref="C3 C2" xr:uid="{41EAB358-1C2E-4949-BAA3-38E621B4AA7C}">
      <formula1>val_phases_all</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87B48"/>
  </sheetPr>
  <dimension ref="B1:Y33"/>
  <sheetViews>
    <sheetView zoomScale="60" zoomScaleNormal="60" workbookViewId="0">
      <selection activeCell="D8" sqref="D8"/>
    </sheetView>
  </sheetViews>
  <sheetFormatPr defaultColWidth="8.7109375" defaultRowHeight="15"/>
  <cols>
    <col min="1" max="1" width="4" customWidth="1"/>
    <col min="2" max="2" width="9.7109375" customWidth="1"/>
    <col min="3" max="3" width="23.42578125" customWidth="1"/>
    <col min="4" max="4" width="13.5703125" customWidth="1"/>
    <col min="5" max="5" width="14.28515625" customWidth="1"/>
    <col min="6" max="6" width="0.140625" customWidth="1"/>
  </cols>
  <sheetData>
    <row r="1" spans="2:25" s="59" customFormat="1" ht="20.100000000000001" customHeight="1" thickBot="1">
      <c r="B1" s="61"/>
      <c r="C1" s="61"/>
      <c r="D1" s="61"/>
      <c r="E1" s="61"/>
      <c r="F1" s="61"/>
      <c r="G1" s="61"/>
      <c r="H1" s="61"/>
      <c r="I1" s="61"/>
      <c r="J1" s="61"/>
      <c r="K1" s="61"/>
      <c r="L1" s="61"/>
      <c r="M1" s="61"/>
      <c r="N1" s="61"/>
      <c r="O1" s="61"/>
      <c r="P1" s="61"/>
      <c r="Q1" s="61"/>
      <c r="R1" s="61"/>
      <c r="S1" s="61"/>
      <c r="T1" s="61"/>
      <c r="U1" s="61"/>
      <c r="V1" s="61"/>
      <c r="W1" s="61"/>
      <c r="X1" s="61"/>
      <c r="Y1" s="61"/>
    </row>
    <row r="2" spans="2:25" ht="60">
      <c r="C2" s="142" t="s">
        <v>58</v>
      </c>
      <c r="D2" s="147" t="s">
        <v>59</v>
      </c>
      <c r="E2" s="148" t="s">
        <v>152</v>
      </c>
      <c r="F2" s="149" t="s">
        <v>60</v>
      </c>
    </row>
    <row r="3" spans="2:25" ht="0.75" customHeight="1">
      <c r="C3" s="162" t="s">
        <v>61</v>
      </c>
      <c r="D3" s="138">
        <v>0</v>
      </c>
      <c r="E3" s="138">
        <v>0</v>
      </c>
      <c r="F3" s="150">
        <v>0</v>
      </c>
      <c r="S3" s="4"/>
      <c r="T3" s="4"/>
      <c r="U3" s="4"/>
    </row>
    <row r="4" spans="2:25" ht="16.149999999999999" customHeight="1">
      <c r="C4" s="162"/>
      <c r="D4" s="138">
        <f>ROUNDUP(Table1[[#Totals],[BEST CASE]]/avgVelocity,0) + D14 +D15</f>
        <v>4</v>
      </c>
      <c r="E4" s="144">
        <f>D4+D14+D15</f>
        <v>6</v>
      </c>
      <c r="F4" s="150">
        <f>'Cone of Uncertainty'!D20</f>
        <v>10</v>
      </c>
    </row>
    <row r="5" spans="2:25" ht="0.75" customHeight="1">
      <c r="C5" s="163" t="s">
        <v>62</v>
      </c>
      <c r="D5" s="139">
        <v>0</v>
      </c>
      <c r="E5" s="139">
        <v>0</v>
      </c>
      <c r="F5" s="151">
        <v>0</v>
      </c>
    </row>
    <row r="6" spans="2:25" ht="13.5" customHeight="1">
      <c r="C6" s="163"/>
      <c r="D6" s="139">
        <f>ROUNDUP(Table1[[#Totals],[MOST LIKELY]]/avgVelocity,0) + D14 +D15</f>
        <v>4</v>
      </c>
      <c r="E6" s="145">
        <f>D6+D14+D15</f>
        <v>6</v>
      </c>
      <c r="F6" s="151">
        <f>'Cone of Uncertainty'!D20</f>
        <v>10</v>
      </c>
    </row>
    <row r="7" spans="2:25" ht="15" hidden="1" customHeight="1">
      <c r="C7" s="164" t="s">
        <v>63</v>
      </c>
      <c r="D7" s="140">
        <v>0</v>
      </c>
      <c r="E7" s="140">
        <v>0</v>
      </c>
      <c r="F7" s="152">
        <v>0</v>
      </c>
    </row>
    <row r="8" spans="2:25">
      <c r="C8" s="164"/>
      <c r="D8" s="140">
        <f>ROUNDUP(Table1[[#Totals],[WORST CASE]]/avgVelocity,0)  + D14 +D15</f>
        <v>4</v>
      </c>
      <c r="E8" s="146">
        <f>D8+D14+D15</f>
        <v>6</v>
      </c>
      <c r="F8" s="152">
        <f>'Cone of Uncertainty'!D20</f>
        <v>10</v>
      </c>
    </row>
    <row r="9" spans="2:25" ht="0.75" customHeight="1">
      <c r="C9" s="165" t="s">
        <v>64</v>
      </c>
      <c r="D9" s="141">
        <v>0</v>
      </c>
      <c r="E9" s="141">
        <v>0</v>
      </c>
      <c r="F9" s="153">
        <f>'Cone of Uncertainty'!D20</f>
        <v>10</v>
      </c>
    </row>
    <row r="10" spans="2:25" ht="15.75" thickBot="1">
      <c r="C10" s="166"/>
      <c r="D10" s="154">
        <f>ROUNDUP(Table1[[#Totals],[MOST LIKELY]]/avgVelocity + 'Cone of Uncertainty'!D21,0)</f>
        <v>22</v>
      </c>
      <c r="E10" s="154">
        <f>ROUNDUP((Table1[[#Totals],[MOST LIKELY]] + D14 + D15)/avgVelocity + 'Cone of Uncertainty'!D21,0)</f>
        <v>22</v>
      </c>
      <c r="F10" s="62">
        <f>'Cone of Uncertainty'!D20</f>
        <v>10</v>
      </c>
    </row>
    <row r="12" spans="2:25" ht="14.25" customHeight="1">
      <c r="B12" s="63"/>
      <c r="C12" s="63"/>
      <c r="D12" s="63"/>
    </row>
    <row r="13" spans="2:25" ht="32.25" customHeight="1" thickBot="1">
      <c r="B13" s="126" t="s">
        <v>65</v>
      </c>
      <c r="C13" s="127" t="s">
        <v>66</v>
      </c>
      <c r="D13" s="128">
        <v>20</v>
      </c>
    </row>
    <row r="14" spans="2:25" ht="58.9" customHeight="1" thickBot="1">
      <c r="B14" s="129" t="s">
        <v>67</v>
      </c>
      <c r="C14" s="143" t="s">
        <v>68</v>
      </c>
      <c r="D14" s="130">
        <v>0</v>
      </c>
      <c r="G14" s="102"/>
    </row>
    <row r="15" spans="2:25" ht="153" customHeight="1">
      <c r="B15" s="131" t="s">
        <v>69</v>
      </c>
      <c r="C15" s="132" t="s">
        <v>70</v>
      </c>
      <c r="D15" s="130">
        <v>2</v>
      </c>
    </row>
    <row r="16" spans="2:25">
      <c r="B16" s="64"/>
    </row>
    <row r="18" spans="2:4">
      <c r="C18" s="161" t="s">
        <v>147</v>
      </c>
      <c r="D18" s="161"/>
    </row>
    <row r="19" spans="2:4">
      <c r="C19" s="3" t="s">
        <v>148</v>
      </c>
      <c r="D19" s="58">
        <f>'Cone of Uncertainty'!E8-'Cone of Uncertainty'!E4</f>
        <v>0</v>
      </c>
    </row>
    <row r="20" spans="2:4">
      <c r="C20" s="23" t="s">
        <v>64</v>
      </c>
      <c r="D20" s="21">
        <v>10</v>
      </c>
    </row>
    <row r="21" spans="2:4">
      <c r="C21" s="24" t="s">
        <v>149</v>
      </c>
      <c r="D21" s="22">
        <v>20</v>
      </c>
    </row>
    <row r="24" spans="2:4">
      <c r="B24" s="59"/>
      <c r="C24" s="59"/>
      <c r="D24" s="59"/>
    </row>
    <row r="25" spans="2:4">
      <c r="B25" s="59"/>
      <c r="C25" s="59"/>
      <c r="D25" s="59"/>
    </row>
    <row r="26" spans="2:4">
      <c r="B26" s="59"/>
      <c r="C26" s="59"/>
      <c r="D26" s="59"/>
    </row>
    <row r="27" spans="2:4">
      <c r="B27" s="59"/>
      <c r="C27" s="59"/>
      <c r="D27" s="59"/>
    </row>
    <row r="28" spans="2:4">
      <c r="B28" s="59"/>
      <c r="C28" s="59"/>
      <c r="D28" s="59"/>
    </row>
    <row r="29" spans="2:4">
      <c r="B29" s="59"/>
      <c r="C29" s="59"/>
      <c r="D29" s="59"/>
    </row>
    <row r="30" spans="2:4">
      <c r="B30" s="59"/>
      <c r="C30" s="59"/>
      <c r="D30" s="59"/>
    </row>
    <row r="31" spans="2:4">
      <c r="B31" s="59"/>
      <c r="C31" s="59"/>
      <c r="D31" s="59"/>
    </row>
    <row r="32" spans="2:4">
      <c r="B32" s="59"/>
      <c r="C32" s="59"/>
      <c r="D32" s="59"/>
    </row>
    <row r="33" spans="2:4">
      <c r="B33" s="59"/>
      <c r="C33" s="59"/>
      <c r="D33" s="59"/>
    </row>
  </sheetData>
  <mergeCells count="5">
    <mergeCell ref="C18:D18"/>
    <mergeCell ref="C3:C4"/>
    <mergeCell ref="C5:C6"/>
    <mergeCell ref="C7:C8"/>
    <mergeCell ref="C9:C10"/>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
  <sheetViews>
    <sheetView workbookViewId="0">
      <selection activeCell="B1" sqref="B1"/>
    </sheetView>
  </sheetViews>
  <sheetFormatPr defaultColWidth="8.7109375" defaultRowHeight="14.25"/>
  <cols>
    <col min="1" max="1" width="31.42578125" style="15" bestFit="1" customWidth="1"/>
    <col min="2" max="2" width="8.140625" style="15" bestFit="1" customWidth="1"/>
    <col min="3" max="3" width="6.140625" style="15" bestFit="1" customWidth="1"/>
    <col min="4" max="4" width="6.7109375" style="15" bestFit="1" customWidth="1"/>
    <col min="5" max="5" width="6.140625" style="15" bestFit="1" customWidth="1"/>
    <col min="6" max="6" width="8.7109375" style="15" customWidth="1"/>
    <col min="7" max="16384" width="8.7109375" style="15"/>
  </cols>
  <sheetData>
    <row r="1" spans="1:5">
      <c r="A1" s="93" t="s">
        <v>5</v>
      </c>
      <c r="B1" s="15" t="s">
        <v>51</v>
      </c>
    </row>
    <row r="2" spans="1:5" ht="15" thickBot="1"/>
    <row r="3" spans="1:5" ht="60.75" thickBot="1">
      <c r="A3" s="36" t="s">
        <v>71</v>
      </c>
      <c r="B3" s="44" t="s">
        <v>53</v>
      </c>
      <c r="C3" s="45" t="s">
        <v>55</v>
      </c>
      <c r="D3" s="45" t="s">
        <v>56</v>
      </c>
      <c r="E3" s="46" t="s">
        <v>57</v>
      </c>
    </row>
    <row r="4" spans="1:5" ht="15" thickTop="1">
      <c r="A4" s="94" t="s">
        <v>18</v>
      </c>
      <c r="B4" s="95">
        <v>0.19575699132111862</v>
      </c>
      <c r="C4" s="96">
        <v>75.650000000000006</v>
      </c>
      <c r="D4" s="96">
        <v>101.5</v>
      </c>
      <c r="E4" s="97">
        <v>127.35</v>
      </c>
    </row>
    <row r="5" spans="1:5">
      <c r="A5" s="94" t="s">
        <v>19</v>
      </c>
      <c r="B5" s="95">
        <v>0.27193828351012539</v>
      </c>
      <c r="C5" s="96">
        <v>83.8</v>
      </c>
      <c r="D5" s="96">
        <v>141</v>
      </c>
      <c r="E5" s="97">
        <v>198.2</v>
      </c>
    </row>
    <row r="6" spans="1:5">
      <c r="A6" s="98" t="s">
        <v>26</v>
      </c>
      <c r="B6" s="95">
        <v>0.53230472516875604</v>
      </c>
      <c r="C6" s="96">
        <v>69.7</v>
      </c>
      <c r="D6" s="96">
        <v>276</v>
      </c>
      <c r="E6" s="97">
        <v>482.3</v>
      </c>
    </row>
    <row r="7" spans="1:5" ht="15">
      <c r="A7" s="50" t="s">
        <v>48</v>
      </c>
      <c r="B7" s="47">
        <v>1</v>
      </c>
      <c r="C7" s="48">
        <v>229.14999999999998</v>
      </c>
      <c r="D7" s="48">
        <v>518.5</v>
      </c>
      <c r="E7" s="49">
        <v>807.84999999999991</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workbookViewId="0">
      <selection activeCell="D4" sqref="D4"/>
    </sheetView>
  </sheetViews>
  <sheetFormatPr defaultColWidth="8.7109375" defaultRowHeight="14.25"/>
  <cols>
    <col min="1" max="1" width="31.42578125" style="15" bestFit="1" customWidth="1"/>
    <col min="2" max="2" width="8.140625" style="15" bestFit="1" customWidth="1"/>
    <col min="3" max="3" width="6.140625" style="15" bestFit="1" customWidth="1"/>
    <col min="4" max="4" width="6.7109375" style="15" bestFit="1" customWidth="1"/>
    <col min="5" max="5" width="6.140625" style="15" bestFit="1" customWidth="1"/>
    <col min="6" max="6" width="9.42578125" style="15" bestFit="1" customWidth="1"/>
    <col min="7" max="16384" width="8.7109375" style="15"/>
  </cols>
  <sheetData>
    <row r="1" spans="1:5">
      <c r="A1" s="93" t="s">
        <v>5</v>
      </c>
      <c r="B1" s="15" t="s">
        <v>51</v>
      </c>
    </row>
    <row r="3" spans="1:5" ht="60">
      <c r="A3" s="36" t="s">
        <v>72</v>
      </c>
      <c r="B3" s="37" t="s">
        <v>53</v>
      </c>
      <c r="C3" s="38" t="s">
        <v>55</v>
      </c>
      <c r="D3" s="38" t="s">
        <v>56</v>
      </c>
      <c r="E3" s="39" t="s">
        <v>57</v>
      </c>
    </row>
    <row r="4" spans="1:5">
      <c r="A4" s="94" t="s">
        <v>18</v>
      </c>
      <c r="B4" s="95">
        <v>0.42912246865959497</v>
      </c>
      <c r="C4" s="96">
        <v>117.3</v>
      </c>
      <c r="D4" s="96">
        <v>222.5</v>
      </c>
      <c r="E4" s="97">
        <v>327.7</v>
      </c>
    </row>
    <row r="5" spans="1:5">
      <c r="A5" s="94" t="s">
        <v>19</v>
      </c>
      <c r="B5" s="95">
        <v>0.49373191899710706</v>
      </c>
      <c r="C5" s="96">
        <v>103.85</v>
      </c>
      <c r="D5" s="96">
        <v>256</v>
      </c>
      <c r="E5" s="97">
        <v>408.15</v>
      </c>
    </row>
    <row r="6" spans="1:5">
      <c r="A6" s="98" t="s">
        <v>26</v>
      </c>
      <c r="B6" s="99">
        <v>7.7145612343297976E-2</v>
      </c>
      <c r="C6" s="100">
        <v>8</v>
      </c>
      <c r="D6" s="100">
        <v>40</v>
      </c>
      <c r="E6" s="101">
        <v>72</v>
      </c>
    </row>
    <row r="7" spans="1:5">
      <c r="A7" s="43" t="s">
        <v>48</v>
      </c>
      <c r="B7" s="40">
        <v>1</v>
      </c>
      <c r="C7" s="41">
        <v>229.14999999999998</v>
      </c>
      <c r="D7" s="41">
        <v>518.5</v>
      </c>
      <c r="E7" s="42">
        <v>807.84999999999991</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95BD3-C238-4E1E-A70B-36D595EBD974}">
  <sheetPr>
    <tabColor rgb="FF487B48"/>
  </sheetPr>
  <dimension ref="B2:C14"/>
  <sheetViews>
    <sheetView workbookViewId="0">
      <selection activeCell="C2" sqref="C2"/>
    </sheetView>
  </sheetViews>
  <sheetFormatPr defaultRowHeight="15"/>
  <cols>
    <col min="3" max="3" width="69" customWidth="1"/>
  </cols>
  <sheetData>
    <row r="2" spans="2:3">
      <c r="B2" s="136" t="s">
        <v>73</v>
      </c>
      <c r="C2" s="136" t="s">
        <v>74</v>
      </c>
    </row>
    <row r="3" spans="2:3">
      <c r="B3" s="3">
        <v>1</v>
      </c>
      <c r="C3" s="3"/>
    </row>
    <row r="4" spans="2:3">
      <c r="B4" s="3">
        <v>2</v>
      </c>
      <c r="C4" s="3"/>
    </row>
    <row r="5" spans="2:3">
      <c r="B5" s="3">
        <v>3</v>
      </c>
      <c r="C5" s="3"/>
    </row>
    <row r="6" spans="2:3">
      <c r="B6" s="3">
        <v>4</v>
      </c>
      <c r="C6" s="3"/>
    </row>
    <row r="7" spans="2:3">
      <c r="B7" s="3">
        <v>5</v>
      </c>
      <c r="C7" s="3"/>
    </row>
    <row r="8" spans="2:3">
      <c r="B8" s="3">
        <v>6</v>
      </c>
      <c r="C8" s="3"/>
    </row>
    <row r="9" spans="2:3">
      <c r="B9" s="3">
        <v>7</v>
      </c>
      <c r="C9" s="3"/>
    </row>
    <row r="10" spans="2:3">
      <c r="B10" s="3">
        <v>8</v>
      </c>
      <c r="C10" s="3"/>
    </row>
    <row r="11" spans="2:3">
      <c r="B11" s="3">
        <v>9</v>
      </c>
      <c r="C11" s="3"/>
    </row>
    <row r="12" spans="2:3">
      <c r="B12" s="3">
        <v>10</v>
      </c>
      <c r="C12" s="3"/>
    </row>
    <row r="13" spans="2:3">
      <c r="B13" s="3">
        <v>11</v>
      </c>
      <c r="C13" s="3"/>
    </row>
    <row r="14" spans="2:3">
      <c r="B14" s="3">
        <v>12</v>
      </c>
      <c r="C14"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15667-732F-4C77-9E21-27F87009582B}">
  <sheetPr>
    <tabColor rgb="FF487B48"/>
  </sheetPr>
  <dimension ref="A1:T46"/>
  <sheetViews>
    <sheetView workbookViewId="0">
      <selection activeCell="F16" sqref="F16"/>
    </sheetView>
  </sheetViews>
  <sheetFormatPr defaultColWidth="11.5703125" defaultRowHeight="15"/>
  <sheetData>
    <row r="1" spans="1:20" ht="19.350000000000001" customHeight="1">
      <c r="A1" s="167" t="s">
        <v>75</v>
      </c>
      <c r="B1" s="167"/>
      <c r="C1" s="167"/>
      <c r="D1" s="167"/>
      <c r="E1" s="167"/>
      <c r="F1" s="167"/>
      <c r="G1" s="167"/>
      <c r="H1" s="167"/>
      <c r="I1" s="167"/>
      <c r="J1" s="167"/>
      <c r="K1" s="167"/>
      <c r="L1" s="167"/>
      <c r="M1" s="167"/>
      <c r="N1" s="167"/>
      <c r="O1" s="167"/>
      <c r="P1" s="167"/>
      <c r="Q1" s="167"/>
      <c r="R1" s="167"/>
      <c r="S1" s="167"/>
      <c r="T1" s="167"/>
    </row>
    <row r="2" spans="1:20" ht="29.1" customHeight="1">
      <c r="A2" s="167"/>
      <c r="B2" s="167"/>
      <c r="C2" s="167"/>
      <c r="D2" s="167"/>
      <c r="E2" s="167"/>
      <c r="F2" s="167"/>
      <c r="G2" s="167"/>
      <c r="H2" s="167"/>
      <c r="I2" s="167"/>
      <c r="J2" s="167"/>
      <c r="K2" s="167"/>
      <c r="L2" s="167"/>
      <c r="M2" s="167"/>
      <c r="N2" s="167"/>
      <c r="O2" s="167"/>
      <c r="P2" s="167"/>
      <c r="Q2" s="167"/>
      <c r="R2" s="167"/>
      <c r="S2" s="167"/>
      <c r="T2" s="167"/>
    </row>
    <row r="4" spans="1:20" s="66" customFormat="1" ht="18">
      <c r="A4" s="65" t="s">
        <v>76</v>
      </c>
    </row>
    <row r="5" spans="1:20" s="66" customFormat="1" ht="18">
      <c r="B5" s="67" t="s">
        <v>77</v>
      </c>
    </row>
    <row r="6" spans="1:20" s="66" customFormat="1" ht="18">
      <c r="B6" s="67" t="s">
        <v>78</v>
      </c>
    </row>
    <row r="7" spans="1:20" s="66" customFormat="1" ht="18">
      <c r="B7" s="67" t="s">
        <v>79</v>
      </c>
    </row>
    <row r="8" spans="1:20" s="66" customFormat="1" ht="18">
      <c r="B8" s="67" t="s">
        <v>80</v>
      </c>
    </row>
    <row r="9" spans="1:20" s="66" customFormat="1" ht="18">
      <c r="B9" s="67" t="s">
        <v>81</v>
      </c>
    </row>
    <row r="10" spans="1:20" s="66" customFormat="1" ht="18">
      <c r="B10" s="67" t="s">
        <v>82</v>
      </c>
    </row>
    <row r="11" spans="1:20" s="66" customFormat="1" ht="18">
      <c r="B11" s="67" t="s">
        <v>83</v>
      </c>
    </row>
    <row r="12" spans="1:20" s="66" customFormat="1" ht="18">
      <c r="B12" s="67" t="s">
        <v>84</v>
      </c>
    </row>
    <row r="13" spans="1:20" s="66" customFormat="1" ht="18">
      <c r="B13" s="67" t="s">
        <v>85</v>
      </c>
    </row>
    <row r="14" spans="1:20" s="66" customFormat="1" ht="18">
      <c r="B14" s="67" t="s">
        <v>86</v>
      </c>
    </row>
    <row r="15" spans="1:20" s="66" customFormat="1" ht="18">
      <c r="B15" s="67" t="s">
        <v>87</v>
      </c>
    </row>
    <row r="16" spans="1:20" s="66" customFormat="1" ht="18">
      <c r="A16" s="65" t="s">
        <v>88</v>
      </c>
    </row>
    <row r="17" spans="1:2" s="66" customFormat="1" ht="18">
      <c r="B17" s="67" t="s">
        <v>89</v>
      </c>
    </row>
    <row r="18" spans="1:2" s="66" customFormat="1" ht="18">
      <c r="B18" s="67" t="s">
        <v>90</v>
      </c>
    </row>
    <row r="19" spans="1:2" s="66" customFormat="1" ht="18">
      <c r="A19" s="65" t="s">
        <v>91</v>
      </c>
    </row>
    <row r="20" spans="1:2" s="66" customFormat="1" ht="18">
      <c r="B20" s="67" t="s">
        <v>92</v>
      </c>
    </row>
    <row r="21" spans="1:2" s="66" customFormat="1" ht="18">
      <c r="B21" s="67" t="s">
        <v>93</v>
      </c>
    </row>
    <row r="22" spans="1:2" s="66" customFormat="1" ht="18">
      <c r="B22" s="67" t="s">
        <v>94</v>
      </c>
    </row>
    <row r="23" spans="1:2" s="66" customFormat="1" ht="18">
      <c r="B23" s="67" t="s">
        <v>95</v>
      </c>
    </row>
    <row r="24" spans="1:2" s="66" customFormat="1" ht="18">
      <c r="B24" s="67" t="s">
        <v>96</v>
      </c>
    </row>
    <row r="25" spans="1:2" s="66" customFormat="1" ht="18">
      <c r="B25" s="67" t="s">
        <v>97</v>
      </c>
    </row>
    <row r="26" spans="1:2" s="66" customFormat="1" ht="18">
      <c r="B26" s="67" t="s">
        <v>98</v>
      </c>
    </row>
    <row r="27" spans="1:2" s="66" customFormat="1" ht="18">
      <c r="B27" s="67" t="s">
        <v>99</v>
      </c>
    </row>
    <row r="28" spans="1:2" s="66" customFormat="1" ht="18">
      <c r="B28" s="67" t="s">
        <v>100</v>
      </c>
    </row>
    <row r="29" spans="1:2" s="66" customFormat="1" ht="18">
      <c r="B29" s="67" t="s">
        <v>101</v>
      </c>
    </row>
    <row r="30" spans="1:2" s="66" customFormat="1" ht="18">
      <c r="B30" s="67" t="s">
        <v>102</v>
      </c>
    </row>
    <row r="31" spans="1:2" s="66" customFormat="1" ht="18">
      <c r="B31" s="67" t="s">
        <v>103</v>
      </c>
    </row>
    <row r="32" spans="1:2" s="66" customFormat="1" ht="18">
      <c r="B32" s="67" t="s">
        <v>104</v>
      </c>
    </row>
    <row r="33" spans="1:2" s="66" customFormat="1" ht="18">
      <c r="B33" s="67" t="s">
        <v>105</v>
      </c>
    </row>
    <row r="34" spans="1:2" s="66" customFormat="1" ht="18">
      <c r="A34" s="65" t="s">
        <v>106</v>
      </c>
    </row>
    <row r="35" spans="1:2" s="66" customFormat="1" ht="18">
      <c r="B35" s="67" t="s">
        <v>107</v>
      </c>
    </row>
    <row r="36" spans="1:2" s="66" customFormat="1" ht="18">
      <c r="B36" s="67" t="s">
        <v>108</v>
      </c>
    </row>
    <row r="37" spans="1:2" s="66" customFormat="1" ht="18">
      <c r="B37" s="67" t="s">
        <v>109</v>
      </c>
    </row>
    <row r="38" spans="1:2" s="66" customFormat="1" ht="18">
      <c r="A38" s="65" t="s">
        <v>110</v>
      </c>
    </row>
    <row r="39" spans="1:2" s="66" customFormat="1" ht="18">
      <c r="B39" s="67" t="s">
        <v>111</v>
      </c>
    </row>
    <row r="40" spans="1:2" s="66" customFormat="1" ht="18">
      <c r="B40" s="67" t="s">
        <v>112</v>
      </c>
    </row>
    <row r="41" spans="1:2" s="66" customFormat="1" ht="18">
      <c r="B41" s="67" t="s">
        <v>113</v>
      </c>
    </row>
    <row r="42" spans="1:2" s="66" customFormat="1" ht="18">
      <c r="B42" s="67" t="s">
        <v>114</v>
      </c>
    </row>
    <row r="43" spans="1:2" s="66" customFormat="1" ht="18">
      <c r="B43" s="67" t="s">
        <v>115</v>
      </c>
    </row>
    <row r="44" spans="1:2" s="66" customFormat="1" ht="18">
      <c r="B44" s="67" t="s">
        <v>116</v>
      </c>
    </row>
    <row r="45" spans="1:2" s="66" customFormat="1" ht="18">
      <c r="B45" s="67" t="s">
        <v>117</v>
      </c>
    </row>
    <row r="46" spans="1:2" s="66" customFormat="1" ht="18">
      <c r="B46" s="67" t="s">
        <v>118</v>
      </c>
    </row>
  </sheetData>
  <mergeCells count="1">
    <mergeCell ref="A1:T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D4E54-F564-415D-A235-141B0E4851E3}">
  <sheetPr>
    <tabColor rgb="FF487B48"/>
  </sheetPr>
  <dimension ref="B2:D14"/>
  <sheetViews>
    <sheetView workbookViewId="0">
      <selection activeCell="F27" sqref="F27"/>
    </sheetView>
  </sheetViews>
  <sheetFormatPr defaultColWidth="8.7109375" defaultRowHeight="15"/>
  <cols>
    <col min="2" max="2" width="23.42578125" customWidth="1"/>
    <col min="3" max="3" width="22.28515625" bestFit="1" customWidth="1"/>
    <col min="4" max="4" width="21" bestFit="1" customWidth="1"/>
    <col min="5" max="5" width="2.7109375" bestFit="1" customWidth="1"/>
    <col min="6" max="6" width="10" bestFit="1" customWidth="1"/>
    <col min="7" max="7" width="17.28515625" bestFit="1" customWidth="1"/>
    <col min="8" max="8" width="12.7109375" bestFit="1" customWidth="1"/>
    <col min="9" max="9" width="3.140625" bestFit="1" customWidth="1"/>
    <col min="10" max="10" width="3" bestFit="1" customWidth="1"/>
    <col min="11" max="11" width="6.42578125" bestFit="1" customWidth="1"/>
    <col min="12" max="12" width="10" bestFit="1" customWidth="1"/>
  </cols>
  <sheetData>
    <row r="2" spans="2:4">
      <c r="B2" s="168" t="s">
        <v>119</v>
      </c>
      <c r="C2" s="169"/>
      <c r="D2" s="170"/>
    </row>
    <row r="3" spans="2:4" ht="14.25" customHeight="1">
      <c r="B3" s="137" t="s">
        <v>120</v>
      </c>
      <c r="C3" s="137" t="s">
        <v>121</v>
      </c>
      <c r="D3" s="137" t="s">
        <v>122</v>
      </c>
    </row>
    <row r="4" spans="2:4">
      <c r="B4" s="3"/>
      <c r="C4" s="3" t="s">
        <v>123</v>
      </c>
      <c r="D4" s="3" t="s">
        <v>124</v>
      </c>
    </row>
    <row r="5" spans="2:4">
      <c r="B5" s="3"/>
      <c r="C5" s="3" t="s">
        <v>125</v>
      </c>
      <c r="D5" s="3" t="s">
        <v>126</v>
      </c>
    </row>
    <row r="6" spans="2:4">
      <c r="B6" s="3"/>
      <c r="C6" s="3" t="s">
        <v>127</v>
      </c>
      <c r="D6" s="3" t="s">
        <v>128</v>
      </c>
    </row>
    <row r="7" spans="2:4">
      <c r="B7" s="3"/>
      <c r="C7" s="3" t="s">
        <v>127</v>
      </c>
      <c r="D7" s="3" t="s">
        <v>128</v>
      </c>
    </row>
    <row r="8" spans="2:4">
      <c r="B8" s="3"/>
      <c r="C8" s="3" t="s">
        <v>129</v>
      </c>
      <c r="D8" s="3" t="s">
        <v>124</v>
      </c>
    </row>
    <row r="9" spans="2:4">
      <c r="B9" s="3"/>
      <c r="C9" s="3" t="s">
        <v>130</v>
      </c>
      <c r="D9" s="3" t="s">
        <v>131</v>
      </c>
    </row>
    <row r="10" spans="2:4">
      <c r="B10" s="3"/>
      <c r="C10" s="35" t="s">
        <v>132</v>
      </c>
      <c r="D10" s="35" t="s">
        <v>126</v>
      </c>
    </row>
    <row r="11" spans="2:4">
      <c r="B11" s="3"/>
      <c r="C11" s="35" t="s">
        <v>133</v>
      </c>
      <c r="D11" s="35" t="s">
        <v>124</v>
      </c>
    </row>
    <row r="12" spans="2:4">
      <c r="B12" s="3"/>
      <c r="C12" s="35" t="s">
        <v>134</v>
      </c>
      <c r="D12" s="35" t="s">
        <v>124</v>
      </c>
    </row>
    <row r="13" spans="2:4">
      <c r="B13" s="3"/>
      <c r="C13" s="60"/>
      <c r="D13" s="60"/>
    </row>
    <row r="14" spans="2:4">
      <c r="B14" s="3"/>
      <c r="C14" s="60"/>
      <c r="D14" s="60"/>
    </row>
  </sheetData>
  <mergeCells count="1">
    <mergeCell ref="B2:D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B2:T23"/>
  <sheetViews>
    <sheetView topLeftCell="D11" zoomScale="127" zoomScaleNormal="194" workbookViewId="0">
      <selection activeCell="K19" sqref="K19"/>
    </sheetView>
  </sheetViews>
  <sheetFormatPr defaultColWidth="8.7109375" defaultRowHeight="15"/>
  <cols>
    <col min="1" max="1" width="3" customWidth="1"/>
    <col min="2" max="2" width="3.7109375" customWidth="1"/>
    <col min="3" max="3" width="13.28515625" customWidth="1"/>
    <col min="4" max="4" width="13.7109375" customWidth="1"/>
    <col min="5" max="5" width="14.28515625" customWidth="1"/>
    <col min="6" max="6" width="13.140625" bestFit="1" customWidth="1"/>
    <col min="7" max="7" width="4" customWidth="1"/>
    <col min="8" max="8" width="3.5703125" customWidth="1"/>
    <col min="9" max="9" width="4" customWidth="1"/>
    <col min="10" max="10" width="12" customWidth="1"/>
    <col min="11" max="11" width="9.7109375" customWidth="1"/>
    <col min="12" max="12" width="3.7109375" customWidth="1"/>
    <col min="13" max="13" width="3.140625" customWidth="1"/>
    <col min="14" max="14" width="3.7109375" customWidth="1"/>
    <col min="15" max="15" width="15.7109375" customWidth="1"/>
    <col min="16" max="16" width="4.140625" customWidth="1"/>
    <col min="17" max="17" width="3.28515625" customWidth="1"/>
    <col min="18" max="18" width="3.7109375" customWidth="1"/>
    <col min="19" max="19" width="12.7109375" customWidth="1"/>
    <col min="20" max="20" width="3.7109375" customWidth="1"/>
    <col min="21" max="21" width="3.28515625" customWidth="1"/>
  </cols>
  <sheetData>
    <row r="2" spans="2:20">
      <c r="B2" s="133"/>
      <c r="C2" s="133"/>
      <c r="D2" s="133"/>
      <c r="E2" s="133"/>
      <c r="F2" s="133"/>
      <c r="G2" s="135"/>
      <c r="I2" s="133"/>
      <c r="J2" s="133"/>
      <c r="K2" s="133"/>
      <c r="L2" s="135"/>
      <c r="N2" s="134"/>
      <c r="O2" s="134"/>
      <c r="P2" s="2"/>
      <c r="R2" s="133"/>
      <c r="S2" s="133"/>
      <c r="T2" s="135"/>
    </row>
    <row r="3" spans="2:20" ht="46.5" customHeight="1">
      <c r="B3" s="2"/>
      <c r="C3" s="137" t="s">
        <v>135</v>
      </c>
      <c r="D3" s="136" t="s">
        <v>136</v>
      </c>
      <c r="E3" s="136" t="s">
        <v>137</v>
      </c>
      <c r="F3" s="136" t="s">
        <v>138</v>
      </c>
      <c r="G3" s="2"/>
      <c r="I3" s="2"/>
      <c r="J3" s="172" t="s">
        <v>139</v>
      </c>
      <c r="K3" s="172"/>
      <c r="L3" s="2"/>
      <c r="N3" s="2"/>
      <c r="O3" s="136" t="s">
        <v>140</v>
      </c>
      <c r="P3" s="2"/>
      <c r="R3" s="2"/>
      <c r="S3" s="137" t="s">
        <v>142</v>
      </c>
      <c r="T3" s="2"/>
    </row>
    <row r="4" spans="2:20">
      <c r="B4" s="2"/>
      <c r="C4" s="3" t="s">
        <v>143</v>
      </c>
      <c r="D4" s="14">
        <v>0</v>
      </c>
      <c r="E4" s="14">
        <v>0</v>
      </c>
      <c r="F4" s="14">
        <v>0</v>
      </c>
      <c r="G4" s="2"/>
      <c r="I4" s="2"/>
      <c r="J4" s="3" t="s">
        <v>143</v>
      </c>
      <c r="K4" s="1">
        <v>0</v>
      </c>
      <c r="L4" s="2"/>
      <c r="N4" s="2"/>
      <c r="O4" s="3" t="s">
        <v>18</v>
      </c>
      <c r="P4" s="2"/>
      <c r="R4" s="2"/>
      <c r="S4" s="3" t="s">
        <v>16</v>
      </c>
      <c r="T4" s="2"/>
    </row>
    <row r="5" spans="2:20">
      <c r="B5" s="2"/>
      <c r="C5" s="3" t="s">
        <v>17</v>
      </c>
      <c r="D5" s="14">
        <v>0</v>
      </c>
      <c r="E5" s="14">
        <v>0.05</v>
      </c>
      <c r="F5" s="14">
        <v>0.1</v>
      </c>
      <c r="G5" s="2"/>
      <c r="I5" s="2"/>
      <c r="J5" s="3" t="s">
        <v>17</v>
      </c>
      <c r="K5" s="1">
        <v>1.5</v>
      </c>
      <c r="L5" s="2"/>
      <c r="N5" s="2"/>
      <c r="O5" s="3" t="s">
        <v>19</v>
      </c>
      <c r="P5" s="2"/>
      <c r="R5" s="2"/>
      <c r="S5" s="3" t="s">
        <v>31</v>
      </c>
      <c r="T5" s="2"/>
    </row>
    <row r="6" spans="2:20">
      <c r="B6" s="2"/>
      <c r="C6" s="3" t="s">
        <v>20</v>
      </c>
      <c r="D6" s="14">
        <v>0</v>
      </c>
      <c r="E6" s="14">
        <v>0.1</v>
      </c>
      <c r="F6" s="14">
        <v>0.2</v>
      </c>
      <c r="G6" s="2"/>
      <c r="I6" s="2"/>
      <c r="J6" s="3" t="s">
        <v>20</v>
      </c>
      <c r="K6" s="1">
        <v>4</v>
      </c>
      <c r="L6" s="2"/>
      <c r="N6" s="2"/>
      <c r="O6" s="3" t="s">
        <v>26</v>
      </c>
      <c r="P6" s="2"/>
      <c r="R6" s="2"/>
      <c r="S6" s="3" t="s">
        <v>25</v>
      </c>
      <c r="T6" s="2"/>
    </row>
    <row r="7" spans="2:20">
      <c r="B7" s="2"/>
      <c r="C7" s="3" t="s">
        <v>22</v>
      </c>
      <c r="D7" s="14">
        <v>0</v>
      </c>
      <c r="E7" s="14">
        <v>0.2</v>
      </c>
      <c r="F7" s="14">
        <v>0.25</v>
      </c>
      <c r="G7" s="2"/>
      <c r="I7" s="2"/>
      <c r="J7" s="3" t="s">
        <v>22</v>
      </c>
      <c r="K7" s="1">
        <v>10.5</v>
      </c>
      <c r="L7" s="2"/>
      <c r="N7" s="2"/>
      <c r="O7" s="2"/>
      <c r="P7" s="2"/>
      <c r="R7" s="2"/>
      <c r="S7" s="3" t="s">
        <v>51</v>
      </c>
      <c r="T7" s="2"/>
    </row>
    <row r="8" spans="2:20">
      <c r="B8" s="2"/>
      <c r="C8" s="3" t="s">
        <v>36</v>
      </c>
      <c r="D8" s="14">
        <v>0.2</v>
      </c>
      <c r="E8" s="14">
        <v>0.25</v>
      </c>
      <c r="F8" s="14">
        <v>0.3</v>
      </c>
      <c r="G8" s="2"/>
      <c r="I8" s="2"/>
      <c r="J8" s="3" t="s">
        <v>36</v>
      </c>
      <c r="K8" s="1">
        <v>20</v>
      </c>
      <c r="L8" s="2"/>
      <c r="N8" s="2"/>
      <c r="O8" s="2"/>
      <c r="P8" s="2"/>
      <c r="R8" s="2"/>
      <c r="S8" s="2"/>
      <c r="T8" s="2"/>
    </row>
    <row r="9" spans="2:20">
      <c r="B9" s="2"/>
      <c r="C9" s="3" t="s">
        <v>41</v>
      </c>
      <c r="D9" s="14">
        <v>0.25</v>
      </c>
      <c r="E9" s="14">
        <v>0.3</v>
      </c>
      <c r="F9" s="14">
        <v>0.4</v>
      </c>
      <c r="G9" s="2"/>
      <c r="I9" s="2"/>
      <c r="J9" s="3" t="s">
        <v>41</v>
      </c>
      <c r="K9" s="1">
        <v>40</v>
      </c>
      <c r="L9" s="2"/>
      <c r="N9" s="2"/>
      <c r="O9" s="2"/>
      <c r="P9" s="2"/>
    </row>
    <row r="10" spans="2:20">
      <c r="B10" s="2"/>
      <c r="C10" s="3" t="s">
        <v>47</v>
      </c>
      <c r="D10" s="14">
        <v>0.3</v>
      </c>
      <c r="E10" s="14">
        <v>0.4</v>
      </c>
      <c r="F10" s="14">
        <v>0.5</v>
      </c>
      <c r="G10" s="2"/>
      <c r="I10" s="2"/>
      <c r="J10" s="3" t="s">
        <v>47</v>
      </c>
      <c r="K10" s="1">
        <v>100</v>
      </c>
      <c r="L10" s="2"/>
      <c r="N10" s="2"/>
      <c r="O10" s="133"/>
      <c r="P10" s="133"/>
    </row>
    <row r="11" spans="2:20">
      <c r="B11" s="2"/>
      <c r="C11" s="2"/>
      <c r="D11" s="2"/>
      <c r="E11" s="2"/>
      <c r="F11" s="2"/>
      <c r="G11" s="2"/>
      <c r="I11" s="2"/>
      <c r="J11" s="2"/>
      <c r="K11" s="2"/>
      <c r="L11" s="2"/>
      <c r="N11" s="133"/>
      <c r="O11" s="133"/>
      <c r="P11" s="135"/>
    </row>
    <row r="12" spans="2:20" ht="44.25" customHeight="1">
      <c r="B12" s="2"/>
      <c r="C12" s="137" t="s">
        <v>135</v>
      </c>
      <c r="D12" s="136" t="s">
        <v>144</v>
      </c>
      <c r="E12" s="136" t="s">
        <v>145</v>
      </c>
      <c r="F12" s="136" t="s">
        <v>146</v>
      </c>
      <c r="G12" s="2"/>
      <c r="I12" s="2"/>
      <c r="J12" s="172" t="s">
        <v>139</v>
      </c>
      <c r="K12" s="172"/>
      <c r="L12" s="2"/>
      <c r="N12" s="2"/>
      <c r="O12" s="136" t="s">
        <v>141</v>
      </c>
      <c r="P12" s="2"/>
    </row>
    <row r="13" spans="2:20">
      <c r="B13" s="2"/>
      <c r="C13" s="3" t="s">
        <v>143</v>
      </c>
      <c r="D13" s="14">
        <v>0</v>
      </c>
      <c r="E13" s="14">
        <v>0</v>
      </c>
      <c r="F13" s="14">
        <v>0</v>
      </c>
      <c r="G13" s="2"/>
      <c r="I13" s="2"/>
      <c r="J13" s="1">
        <v>0</v>
      </c>
      <c r="K13" s="3" t="s">
        <v>143</v>
      </c>
      <c r="L13" s="2"/>
      <c r="N13" s="2"/>
      <c r="O13" s="3" t="s">
        <v>18</v>
      </c>
      <c r="P13" s="2"/>
    </row>
    <row r="14" spans="2:20">
      <c r="B14" s="2"/>
      <c r="C14" s="3" t="s">
        <v>17</v>
      </c>
      <c r="D14" s="14">
        <v>0</v>
      </c>
      <c r="E14" s="14">
        <v>0</v>
      </c>
      <c r="F14" s="14">
        <v>0.05</v>
      </c>
      <c r="G14" s="2"/>
      <c r="I14" s="2"/>
      <c r="J14" s="1">
        <v>1</v>
      </c>
      <c r="K14" s="3" t="s">
        <v>17</v>
      </c>
      <c r="L14" s="2"/>
      <c r="N14" s="2"/>
      <c r="O14" s="3" t="s">
        <v>19</v>
      </c>
      <c r="P14" s="2"/>
    </row>
    <row r="15" spans="2:20">
      <c r="B15" s="2"/>
      <c r="C15" s="3" t="s">
        <v>20</v>
      </c>
      <c r="D15" s="14">
        <v>0</v>
      </c>
      <c r="E15" s="14">
        <v>0.05</v>
      </c>
      <c r="F15" s="14">
        <v>0.1</v>
      </c>
      <c r="G15" s="2"/>
      <c r="I15" s="2"/>
      <c r="J15" s="1">
        <v>2</v>
      </c>
      <c r="K15" s="3" t="s">
        <v>17</v>
      </c>
      <c r="L15" s="2"/>
      <c r="N15" s="2"/>
      <c r="O15" s="3" t="s">
        <v>26</v>
      </c>
      <c r="P15" s="2"/>
    </row>
    <row r="16" spans="2:20" ht="14.25" customHeight="1">
      <c r="B16" s="2"/>
      <c r="C16" s="3" t="s">
        <v>22</v>
      </c>
      <c r="D16" s="14">
        <v>0</v>
      </c>
      <c r="E16" s="14">
        <v>0.1</v>
      </c>
      <c r="F16" s="14">
        <v>0.2</v>
      </c>
      <c r="G16" s="2"/>
      <c r="I16" s="2"/>
      <c r="J16" s="1">
        <v>3</v>
      </c>
      <c r="K16" s="3" t="s">
        <v>20</v>
      </c>
      <c r="L16" s="2"/>
      <c r="N16" s="2"/>
      <c r="O16" s="2"/>
      <c r="P16" s="2"/>
    </row>
    <row r="17" spans="2:12">
      <c r="B17" s="2"/>
      <c r="C17" s="3" t="s">
        <v>36</v>
      </c>
      <c r="D17" s="14">
        <v>0.1</v>
      </c>
      <c r="E17" s="14">
        <v>0.15</v>
      </c>
      <c r="F17" s="14">
        <v>0.3</v>
      </c>
      <c r="G17" s="2"/>
      <c r="I17" s="2"/>
      <c r="J17" s="1">
        <v>5</v>
      </c>
      <c r="K17" s="3" t="s">
        <v>20</v>
      </c>
      <c r="L17" s="2"/>
    </row>
    <row r="18" spans="2:12">
      <c r="B18" s="2"/>
      <c r="C18" s="3" t="s">
        <v>41</v>
      </c>
      <c r="D18" s="14">
        <v>0.15</v>
      </c>
      <c r="E18" s="14">
        <v>0.2</v>
      </c>
      <c r="F18" s="14">
        <v>0.4</v>
      </c>
      <c r="G18" s="2"/>
      <c r="I18" s="2"/>
      <c r="J18" s="1">
        <v>8</v>
      </c>
      <c r="K18" s="3" t="s">
        <v>22</v>
      </c>
      <c r="L18" s="2"/>
    </row>
    <row r="19" spans="2:12">
      <c r="B19" s="2"/>
      <c r="C19" s="3" t="s">
        <v>47</v>
      </c>
      <c r="D19" s="14">
        <v>0.2</v>
      </c>
      <c r="E19" s="14">
        <v>0.4</v>
      </c>
      <c r="F19" s="14">
        <v>0.5</v>
      </c>
      <c r="G19" s="2"/>
      <c r="I19" s="2"/>
      <c r="J19" s="1">
        <v>13</v>
      </c>
      <c r="K19" s="3" t="s">
        <v>22</v>
      </c>
      <c r="L19" s="2"/>
    </row>
    <row r="20" spans="2:12">
      <c r="B20" s="2"/>
      <c r="C20" s="171"/>
      <c r="D20" s="171"/>
      <c r="E20" s="171"/>
      <c r="F20" s="171"/>
      <c r="G20" s="2"/>
      <c r="I20" s="2"/>
      <c r="J20" s="1">
        <v>20</v>
      </c>
      <c r="K20" s="3" t="s">
        <v>36</v>
      </c>
      <c r="L20" s="2"/>
    </row>
    <row r="21" spans="2:12">
      <c r="I21" s="2"/>
      <c r="J21" s="1">
        <v>40</v>
      </c>
      <c r="K21" s="3" t="s">
        <v>41</v>
      </c>
      <c r="L21" s="2"/>
    </row>
    <row r="22" spans="2:12">
      <c r="I22" s="2"/>
      <c r="J22" s="1">
        <v>100</v>
      </c>
      <c r="K22" s="3" t="s">
        <v>47</v>
      </c>
      <c r="L22" s="2"/>
    </row>
    <row r="23" spans="2:12">
      <c r="I23" s="2"/>
      <c r="J23" s="2"/>
      <c r="K23" s="2"/>
      <c r="L23" s="2"/>
    </row>
  </sheetData>
  <mergeCells count="3">
    <mergeCell ref="C20:F20"/>
    <mergeCell ref="J3:K3"/>
    <mergeCell ref="J12:K12"/>
  </mergeCells>
  <conditionalFormatting sqref="D4:F10">
    <cfRule type="colorScale" priority="3">
      <colorScale>
        <cfvo type="min"/>
        <cfvo type="percentile" val="50"/>
        <cfvo type="max"/>
        <color rgb="FF487B48"/>
        <color rgb="FFF7BE66"/>
        <color rgb="FFCA3B41"/>
      </colorScale>
    </cfRule>
  </conditionalFormatting>
  <conditionalFormatting sqref="D13:F19">
    <cfRule type="colorScale" priority="2">
      <colorScale>
        <cfvo type="min"/>
        <cfvo type="percentile" val="50"/>
        <cfvo type="max"/>
        <color rgb="FF487B48"/>
        <color rgb="FFF7BE66"/>
        <color rgb="FFCA3B41"/>
      </colorScale>
    </cfRule>
  </conditionalFormatting>
  <pageMargins left="0.7" right="0.7" top="0.75" bottom="0.75" header="0.3" footer="0.3"/>
  <pageSetup paperSize="9" orientation="portrait" horizontalDpi="4294967293" verticalDpi="4294967293"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DEE37CDC9AEA44CBD8F091652A6C5E4" ma:contentTypeVersion="11" ma:contentTypeDescription="Create a new document." ma:contentTypeScope="" ma:versionID="9de09e14d18b2e0769f00e11c33b035a">
  <xsd:schema xmlns:xsd="http://www.w3.org/2001/XMLSchema" xmlns:xs="http://www.w3.org/2001/XMLSchema" xmlns:p="http://schemas.microsoft.com/office/2006/metadata/properties" xmlns:ns2="7bb3299b-b075-41c7-bb54-99fc85b15d4f" xmlns:ns3="08caf6cd-a550-4dce-b6c8-fe9b0e6bc4e3" targetNamespace="http://schemas.microsoft.com/office/2006/metadata/properties" ma:root="true" ma:fieldsID="81a6a9a579b993e4978c34f4e71e25a5" ns2:_="" ns3:_="">
    <xsd:import namespace="7bb3299b-b075-41c7-bb54-99fc85b15d4f"/>
    <xsd:import namespace="08caf6cd-a550-4dce-b6c8-fe9b0e6bc4e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b3299b-b075-41c7-bb54-99fc85b15d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caf6cd-a550-4dce-b6c8-fe9b0e6bc4e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10AAFC-6E8A-4F4B-91D1-B1DB8DD7131E}">
  <ds:schemaRefs>
    <ds:schemaRef ds:uri="http://schemas.microsoft.com/sharepoint/v3/contenttype/forms"/>
  </ds:schemaRefs>
</ds:datastoreItem>
</file>

<file path=customXml/itemProps2.xml><?xml version="1.0" encoding="utf-8"?>
<ds:datastoreItem xmlns:ds="http://schemas.openxmlformats.org/officeDocument/2006/customXml" ds:itemID="{0D916E78-7E6F-4E04-B4AA-CEC365547D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b3299b-b075-41c7-bb54-99fc85b15d4f"/>
    <ds:schemaRef ds:uri="08caf6cd-a550-4dce-b6c8-fe9b0e6bc4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49F70C-261C-4E13-A8B5-F2B201AA0A0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Features</vt:lpstr>
      <vt:lpstr>Features Analysis</vt:lpstr>
      <vt:lpstr>Cone of Uncertainty</vt:lpstr>
      <vt:lpstr>byUncertainty</vt:lpstr>
      <vt:lpstr>byComplexity</vt:lpstr>
      <vt:lpstr>Assumtions</vt:lpstr>
      <vt:lpstr>Definition of Done</vt:lpstr>
      <vt:lpstr>Team Shape</vt:lpstr>
      <vt:lpstr>ConeOfUncertainty Setup</vt:lpstr>
      <vt:lpstr>avgVelocity</vt:lpstr>
      <vt:lpstr>BusinessUncertainty</vt:lpstr>
      <vt:lpstr>lst_SP_to_TShirt</vt:lpstr>
      <vt:lpstr>lst_TShirt_2_SP_Avg</vt:lpstr>
      <vt:lpstr>lst_tshirt_bu</vt:lpstr>
      <vt:lpstr>lst_tshirt_tc</vt:lpstr>
      <vt:lpstr>TechnicalComplexity</vt:lpstr>
      <vt:lpstr>val_phases</vt:lpstr>
      <vt:lpstr>val_phases_all</vt:lpstr>
      <vt:lpstr>val_SP</vt:lpstr>
      <vt:lpstr>val_TShirt</vt:lpstr>
      <vt:lpstr>XS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ABC-Envisioning Workshop</dc:title>
  <dc:subject/>
  <dc:creator>George.Anghelache@endava.com</dc:creator>
  <cp:keywords/>
  <dc:description/>
  <cp:lastModifiedBy>Mario Briceno</cp:lastModifiedBy>
  <cp:revision/>
  <cp:lastPrinted>2021-11-25T22:21:51Z</cp:lastPrinted>
  <dcterms:created xsi:type="dcterms:W3CDTF">2014-02-24T14:50:31Z</dcterms:created>
  <dcterms:modified xsi:type="dcterms:W3CDTF">2022-08-26T21:27:41Z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0x0101006DEE37CDC9AEA44CBD8F091652A6C5E4</vt:lpwstr>
  </property>
  <property fmtid="{D5CDD505-2E9C-101B-9397-08002B2CF9AE}" pid="4" name="_dlc_DocIdItemGuid">
    <vt:lpwstr>3cb6963b-357a-4674-a175-746914f4ae16</vt:lpwstr>
  </property>
  <property fmtid="{D5CDD505-2E9C-101B-9397-08002B2CF9AE}" pid="5" name="SV_HIDDEN_GRID_QUERY_LIST_4F35BF76-6C0D-4D9B-82B2-816C12CF3733">
    <vt:lpwstr>empty_477D106A-C0D6-4607-AEBD-E2C9D60EA279</vt:lpwstr>
  </property>
</Properties>
</file>